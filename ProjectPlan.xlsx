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codeName="ThisWorkbook"/>
  <mc:AlternateContent xmlns:mc="http://schemas.openxmlformats.org/markup-compatibility/2006">
    <mc:Choice Requires="x15">
      <x15ac:absPath xmlns:x15ac="http://schemas.microsoft.com/office/spreadsheetml/2010/11/ac" url="/Users/shali/Downloads/"/>
    </mc:Choice>
  </mc:AlternateContent>
  <xr:revisionPtr revIDLastSave="0" documentId="13_ncr:1_{386D7A9B-1F34-414C-94FE-6704B1566E31}" xr6:coauthVersionLast="47" xr6:coauthVersionMax="47" xr10:uidLastSave="{00000000-0000-0000-0000-000000000000}"/>
  <bookViews>
    <workbookView xWindow="0" yWindow="500" windowWidth="68800" windowHeight="26600" xr2:uid="{00000000-000D-0000-FFFF-FFFF00000000}"/>
  </bookViews>
  <sheets>
    <sheet name="Project schedule" sheetId="1" r:id="rId1"/>
    <sheet name="Project Plan" sheetId="3"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33" i="1" l="1"/>
  <c r="H32" i="1"/>
  <c r="H31" i="1"/>
  <c r="H30" i="1"/>
  <c r="E29" i="1"/>
  <c r="H28" i="1"/>
  <c r="H27" i="1"/>
  <c r="H26" i="1"/>
  <c r="H25" i="1"/>
  <c r="E24" i="1"/>
  <c r="F24" i="1" s="1"/>
  <c r="H24" i="1" s="1"/>
  <c r="H23" i="1"/>
  <c r="H22" i="1"/>
  <c r="H21" i="1"/>
  <c r="H20" i="1"/>
  <c r="H19" i="1"/>
  <c r="H18" i="1"/>
  <c r="H17" i="1"/>
  <c r="H16" i="1"/>
  <c r="H15" i="1"/>
  <c r="H14" i="1"/>
  <c r="H13" i="1"/>
  <c r="H12" i="1"/>
  <c r="H11" i="1"/>
  <c r="H10" i="1"/>
  <c r="H9" i="1"/>
  <c r="H8" i="1"/>
  <c r="H7" i="1"/>
  <c r="I5" i="1"/>
  <c r="I4" i="1" s="1"/>
  <c r="I6" i="1" l="1"/>
  <c r="J5" i="1"/>
  <c r="F29" i="1"/>
  <c r="H29" i="1" s="1"/>
  <c r="K5" i="1" l="1"/>
  <c r="J6" i="1"/>
  <c r="L5" i="1" l="1"/>
  <c r="K6" i="1"/>
  <c r="M5" i="1" l="1"/>
  <c r="L6" i="1"/>
  <c r="N5" i="1" l="1"/>
  <c r="M6" i="1"/>
  <c r="O5" i="1" l="1"/>
  <c r="N6" i="1"/>
  <c r="O6" i="1" l="1"/>
  <c r="P5" i="1"/>
  <c r="P6" i="1" l="1"/>
  <c r="Q5" i="1"/>
  <c r="P4" i="1"/>
  <c r="R5" i="1" l="1"/>
  <c r="Q6" i="1"/>
  <c r="S5" i="1" l="1"/>
  <c r="R6" i="1"/>
  <c r="T5" i="1" l="1"/>
  <c r="S6" i="1"/>
  <c r="U5" i="1" l="1"/>
  <c r="T6" i="1"/>
  <c r="U6" i="1" l="1"/>
  <c r="V5" i="1"/>
  <c r="W5" i="1" l="1"/>
  <c r="V6" i="1"/>
  <c r="W6" i="1" l="1"/>
  <c r="X5" i="1"/>
  <c r="W4" i="1"/>
  <c r="Y5" i="1" l="1"/>
  <c r="X6" i="1"/>
  <c r="Z5" i="1" l="1"/>
  <c r="Y6" i="1"/>
  <c r="AA5" i="1" l="1"/>
  <c r="Z6" i="1"/>
  <c r="AB5" i="1" l="1"/>
  <c r="AA6" i="1"/>
  <c r="AC5" i="1" l="1"/>
  <c r="AB6" i="1"/>
  <c r="AD5" i="1" l="1"/>
  <c r="AC6" i="1"/>
  <c r="AE5" i="1" l="1"/>
  <c r="AD6" i="1"/>
  <c r="AD4" i="1"/>
  <c r="AE6" i="1" l="1"/>
  <c r="AF5" i="1"/>
  <c r="AF6" i="1" l="1"/>
  <c r="AG5" i="1"/>
  <c r="AH5" i="1" l="1"/>
  <c r="AG6" i="1"/>
  <c r="AI5" i="1" l="1"/>
  <c r="AH6" i="1"/>
  <c r="AJ5" i="1" l="1"/>
  <c r="AI6" i="1"/>
  <c r="AJ6" i="1" l="1"/>
  <c r="AK5" i="1"/>
  <c r="AL5" i="1" l="1"/>
  <c r="AK6" i="1"/>
  <c r="AK4" i="1"/>
  <c r="AM5" i="1" l="1"/>
  <c r="AL6" i="1"/>
  <c r="AM6" i="1" l="1"/>
  <c r="AN5" i="1"/>
  <c r="AN6" i="1" l="1"/>
  <c r="AO5" i="1"/>
  <c r="AP5" i="1" l="1"/>
  <c r="AO6" i="1"/>
  <c r="AQ5" i="1" l="1"/>
  <c r="AP6" i="1"/>
  <c r="AR5" i="1" l="1"/>
  <c r="AQ6" i="1"/>
  <c r="AS5" i="1" l="1"/>
  <c r="AR4" i="1"/>
  <c r="AR6" i="1"/>
  <c r="AT5" i="1" l="1"/>
  <c r="AS6" i="1"/>
  <c r="AU5" i="1" l="1"/>
  <c r="AT6" i="1"/>
  <c r="AU6" i="1" l="1"/>
  <c r="AV5" i="1"/>
  <c r="AV6" i="1" l="1"/>
  <c r="AW5" i="1"/>
  <c r="AX5" i="1" l="1"/>
  <c r="AW6" i="1"/>
  <c r="AY5" i="1" l="1"/>
  <c r="AX6" i="1"/>
  <c r="AY4" i="1" l="1"/>
  <c r="AZ5" i="1"/>
  <c r="AY6" i="1"/>
  <c r="BA5" i="1" l="1"/>
  <c r="AZ6" i="1"/>
  <c r="BB5" i="1" l="1"/>
  <c r="BA6" i="1"/>
  <c r="BC5" i="1" l="1"/>
  <c r="BB6" i="1"/>
  <c r="BC6" i="1" l="1"/>
  <c r="BD5" i="1"/>
  <c r="BD6" i="1" l="1"/>
  <c r="BE5" i="1"/>
  <c r="BF5" i="1" l="1"/>
  <c r="BE6" i="1"/>
  <c r="BF4" i="1" l="1"/>
  <c r="BG5" i="1"/>
  <c r="BF6" i="1"/>
  <c r="BH5" i="1" l="1"/>
  <c r="BG6" i="1"/>
  <c r="BI5" i="1" l="1"/>
  <c r="BH6" i="1"/>
  <c r="BJ5" i="1" l="1"/>
  <c r="BI6" i="1"/>
  <c r="BK5" i="1" l="1"/>
  <c r="BJ6" i="1"/>
  <c r="BK6" i="1" l="1"/>
  <c r="BL5" i="1"/>
  <c r="BL6" i="1" s="1"/>
</calcChain>
</file>

<file path=xl/sharedStrings.xml><?xml version="1.0" encoding="utf-8"?>
<sst xmlns="http://schemas.openxmlformats.org/spreadsheetml/2006/main" count="356" uniqueCount="145">
  <si>
    <t>Project start:</t>
  </si>
  <si>
    <t>Display week:</t>
  </si>
  <si>
    <t>TASK</t>
  </si>
  <si>
    <t>ASSIGNED TO</t>
  </si>
  <si>
    <t>PROGRESS</t>
  </si>
  <si>
    <t>START</t>
  </si>
  <si>
    <t>END</t>
  </si>
  <si>
    <t xml:space="preserve">Do not delete this row. This row is hidden to preserve a formula that is used to highlight the current day within the project schedule. </t>
  </si>
  <si>
    <t>Phase 1 – Data Clean Up</t>
  </si>
  <si>
    <t>Provide backup of PROD database</t>
  </si>
  <si>
    <t>PROD-DB</t>
  </si>
  <si>
    <t>Send PROD DB extract to SS&amp;C</t>
  </si>
  <si>
    <t>Install SQL Server &amp; add users to DEV DB</t>
  </si>
  <si>
    <t>DEV-DB</t>
  </si>
  <si>
    <t>Request restore of PROD extract into DEV DB</t>
  </si>
  <si>
    <t>Restore/load PROD extract into DEV DB</t>
  </si>
  <si>
    <t>Validate data in DEV DB</t>
  </si>
  <si>
    <t>Install Sylvan 7.68 on DEV App Server</t>
  </si>
  <si>
    <t>DEV-APP</t>
  </si>
  <si>
    <t>Hand off DEV DB for functional testing</t>
  </si>
  <si>
    <t>CROSS-ENV</t>
  </si>
  <si>
    <t>Functional testing &amp; cleanup (users/portfolios/indexes)</t>
  </si>
  <si>
    <t>Environment cleanup</t>
  </si>
  <si>
    <t>DEV</t>
  </si>
  <si>
    <t>Build/test scripts to clean up users</t>
  </si>
  <si>
    <t>Build/test scripts to remove class-level portfolio results</t>
  </si>
  <si>
    <t>Build/test scripts to remove class-level index results</t>
  </si>
  <si>
    <t>Deliver final cleanup package</t>
  </si>
  <si>
    <t>Apply cleanup in UAT and PROD</t>
  </si>
  <si>
    <t>UAT/PROD</t>
  </si>
  <si>
    <t>Phase 2 – Upgrade (DEV/Test)</t>
  </si>
  <si>
    <t>Nuria Acevedo</t>
  </si>
  <si>
    <t>Run DEV upgrade scripts</t>
  </si>
  <si>
    <t>Troubleshoot DEV issues</t>
  </si>
  <si>
    <t>Update scripts: single total level hierarchy for indices</t>
  </si>
  <si>
    <t>Build scripts: convert floating-weight benchmark</t>
  </si>
  <si>
    <t>Setup DEV / Test Environment</t>
  </si>
  <si>
    <t>Jens Martensson</t>
  </si>
  <si>
    <t>Build DEV App Server</t>
  </si>
  <si>
    <t>Install required software</t>
  </si>
  <si>
    <t>Create latest DEV DB &amp; run upgrade scripts</t>
  </si>
  <si>
    <t>SS&amp;C assistance (as needed)</t>
  </si>
  <si>
    <t>VENDOR/SS&amp;C</t>
  </si>
  <si>
    <t>Update Custom Reports (Stored Procedures)</t>
  </si>
  <si>
    <t>Confirm updated SP list with SS&amp;C</t>
  </si>
  <si>
    <t>pru_syl_port_bench_asof_wrp</t>
  </si>
  <si>
    <t>pru_syl_load_memPortBM_PerRolling</t>
  </si>
  <si>
    <t>pru_syl_load_cfactual_mlt</t>
  </si>
  <si>
    <t>pru_syl_load_composite_monthly</t>
  </si>
  <si>
    <t>Training &amp; UAT</t>
  </si>
  <si>
    <t>Training: like-for-like processes</t>
  </si>
  <si>
    <t>ALL/USERS</t>
  </si>
  <si>
    <t>Training: new functionality (focus on pain points)</t>
  </si>
  <si>
    <t>UAT: run test scripts</t>
  </si>
  <si>
    <t>UAT</t>
  </si>
  <si>
    <t>Production Environment Setup</t>
  </si>
  <si>
    <t>Update new PROD App Server (FIRMRun, Java 21, Autosys)</t>
  </si>
  <si>
    <t>PROD-APP</t>
  </si>
  <si>
    <t>Reserve Windows 10 boxes for Performance Reporting</t>
  </si>
  <si>
    <t>Update test plan &amp; share with QA to develop test plan</t>
  </si>
  <si>
    <t>QA</t>
  </si>
  <si>
    <t>Set up PROD DB Server (SQL Server &amp; supporting SW)</t>
  </si>
  <si>
    <t>Set up PROD App Server (FIRMRun, Java 21, Autosys)</t>
  </si>
  <si>
    <t>Parallel Run and Testing</t>
  </si>
  <si>
    <t>Run processes in parallel</t>
  </si>
  <si>
    <t>PROD/DEV</t>
  </si>
  <si>
    <t>Provide support as needed (parallel)</t>
  </si>
  <si>
    <t>TEAM</t>
  </si>
  <si>
    <t>Go Live</t>
  </si>
  <si>
    <t>Restore latest DB on new PROD and run upgrade scripts</t>
  </si>
  <si>
    <t>Application smoke test &amp; support</t>
  </si>
  <si>
    <t>Post Go-Live Support</t>
  </si>
  <si>
    <t>Hypercare support (up to 4 weeks)</t>
  </si>
  <si>
    <t>ID</t>
  </si>
  <si>
    <t>Phase</t>
  </si>
  <si>
    <t>Workstream</t>
  </si>
  <si>
    <t>Task Name</t>
  </si>
  <si>
    <t>Environment</t>
  </si>
  <si>
    <t>Duration (workdays)</t>
  </si>
  <si>
    <t>Start</t>
  </si>
  <si>
    <t>End</t>
  </si>
  <si>
    <t>Depends On (ID)</t>
  </si>
  <si>
    <t>Owner</t>
  </si>
  <si>
    <t>Status</t>
  </si>
  <si>
    <t>% Complete</t>
  </si>
  <si>
    <t>Milestone</t>
  </si>
  <si>
    <t>Notes</t>
  </si>
  <si>
    <t>Preliminary Work</t>
  </si>
  <si>
    <t>Provide backup of Sylvan PROD database</t>
  </si>
  <si>
    <t>PROD</t>
  </si>
  <si>
    <t>Not Started</t>
  </si>
  <si>
    <t>No</t>
  </si>
  <si>
    <t>Send Sylvan PROD DB extract to SS&amp;C</t>
  </si>
  <si>
    <t>Install SQL Server and add all users to Sylvan DEV DB</t>
  </si>
  <si>
    <t>Restore PROD data extract → DEV</t>
  </si>
  <si>
    <t>Submit request to restore/load PROD data extract into DEV Sylvan DB</t>
  </si>
  <si>
    <t>Restore/Load PROD data extract into DEV Sylvan DB</t>
  </si>
  <si>
    <t>Prep &amp; Testing</t>
  </si>
  <si>
    <t>Check out data in Sylvan DEV DB</t>
  </si>
  <si>
    <t>Install Sylvan 7.6 upgrade on DEV Sylvan App Server</t>
  </si>
  <si>
    <t>Hand off Sylvan DEV DB for functional testing (to Jason &amp; team)</t>
  </si>
  <si>
    <t>Functional testing &amp; cleanup (users, portfolios, indexes)</t>
  </si>
  <si>
    <t>Environment Clean Up</t>
  </si>
  <si>
    <t>Build &amp; test scripts to clean up users</t>
  </si>
  <si>
    <t>Build &amp; test scripts/process to remove class level portfolio results</t>
  </si>
  <si>
    <t>Build &amp; test scripts/process to remove class level index results</t>
  </si>
  <si>
    <t>Deliver final package</t>
  </si>
  <si>
    <t>Apply in UAT and PROD</t>
  </si>
  <si>
    <t>Phase 2 – Upgrade</t>
  </si>
  <si>
    <t>Run upgrade scripts</t>
  </si>
  <si>
    <t>Troubleshoot any issue with DEV</t>
  </si>
  <si>
    <t>Update scripts to use one common total-level hierarchy for indices</t>
  </si>
  <si>
    <t>Conversion Build</t>
  </si>
  <si>
    <t>Build scripts to convert floating-weight benchmark to new functionality</t>
  </si>
  <si>
    <t>Setup Sylvan DEV/Test Environment</t>
  </si>
  <si>
    <t>Build application server</t>
  </si>
  <si>
    <t>Install software</t>
  </si>
  <si>
    <t>Build latest DB and run upgrade scripts</t>
  </si>
  <si>
    <t>Get SS&amp;C assistance (as needed)</t>
  </si>
  <si>
    <t>Update Custom Reports</t>
  </si>
  <si>
    <t>Send updated list of stored procedures to SS&amp;C for confirmation</t>
  </si>
  <si>
    <t>Update: pru_syl_port_bench_asof_wrp</t>
  </si>
  <si>
    <t>Update: pru_syl_load_memPortBM_PerRolling</t>
  </si>
  <si>
    <t>Update: pru_syl_load_cpfactual_mlt</t>
  </si>
  <si>
    <t>Update: pru_syl_load_composite_monthly</t>
  </si>
  <si>
    <t>Training</t>
  </si>
  <si>
    <t>Training on like-for-like processes</t>
  </si>
  <si>
    <t>All</t>
  </si>
  <si>
    <t>Training on new functionality (focus on pain points)</t>
  </si>
  <si>
    <t>User Testing</t>
  </si>
  <si>
    <t>UAT – run through test scripts</t>
  </si>
  <si>
    <t>Setup Sylvan PROD Environment</t>
  </si>
  <si>
    <t>Update new application server with FIRMRun, Java 21, Autosys</t>
  </si>
  <si>
    <t>Reserve Windows 10 boxes for PR team (contingency for Go-Live)</t>
  </si>
  <si>
    <t>Update test plan based on Jason's scripts; share with QA</t>
  </si>
  <si>
    <t>Setup DB server with SQL Server and supporting software (PROD)</t>
  </si>
  <si>
    <t>Setup application server with FIRMRun, Java 21, Autosys (PROD)</t>
  </si>
  <si>
    <t>Parallel Run &amp; Testing</t>
  </si>
  <si>
    <t>Provide support as needed (parallel run window)</t>
  </si>
  <si>
    <t>Restore test DB on new PROD environment &amp; run upgrade scripts</t>
  </si>
  <si>
    <t>Yes</t>
  </si>
  <si>
    <t>Go-Live support</t>
  </si>
  <si>
    <t>Post Go Live Support</t>
  </si>
  <si>
    <t>Hypercare / support for up to 4 weeks post Go-Live</t>
  </si>
  <si>
    <t>Application Upgrade 7.1 → 7.68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</si>
</sst>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numFmt numFmtId="165" formatCode="m/d/yy;@"/>
    <numFmt numFmtId="166" formatCode="ddd\,\ m/d/yyyy"/>
    <numFmt numFmtId="167" formatCode="mmm\ d\,\ yyyy"/>
    <numFmt numFmtId="168" formatCode="yyyy\-mm\-dd"/>
  </numFmts>
  <fonts count="27"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b/>
      <sz val="40"/>
      <color theme="9"/>
      <name val="Arial Black"/>
      <family val="2"/>
      <scheme val="major"/>
    </font>
    <font>
      <b/>
      <sz val="11"/>
      <color rgb="FF000000"/>
      <name val="Calibri"/>
      <family val="2"/>
    </font>
    <font>
      <sz val="11"/>
      <color rgb="FF000000"/>
      <name val="Calibri"/>
      <family val="2"/>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3743705557422"/>
        <bgColor indexed="64"/>
      </patternFill>
    </fill>
    <fill>
      <patternFill patternType="solid">
        <fgColor rgb="FF63BE7B"/>
        <bgColor rgb="FF000000"/>
      </patternFill>
    </fill>
  </fills>
  <borders count="23">
    <border>
      <left/>
      <right/>
      <top/>
      <bottom/>
      <diagonal/>
    </border>
    <border>
      <left/>
      <right/>
      <top style="medium">
        <color theme="0" tint="-0.14993743705557422"/>
      </top>
      <bottom style="medium">
        <color theme="0" tint="-0.149937437055574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0691854609822"/>
      </left>
      <right style="thin">
        <color theme="0" tint="-0.149906918546098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2">
    <xf numFmtId="0" fontId="0" fillId="0" borderId="0"/>
    <xf numFmtId="0" fontId="2" fillId="0" borderId="0">
      <alignment vertical="top"/>
      <protection locked="0"/>
    </xf>
    <xf numFmtId="9" fontId="4" fillId="0" borderId="0"/>
    <xf numFmtId="0" fontId="9" fillId="0" borderId="0"/>
    <xf numFmtId="0" fontId="6" fillId="0" borderId="0"/>
    <xf numFmtId="0" fontId="5" fillId="0" borderId="0"/>
    <xf numFmtId="0" fontId="5" fillId="0" borderId="0">
      <alignment vertical="top"/>
    </xf>
    <xf numFmtId="0" fontId="4" fillId="0" borderId="0">
      <alignment horizontal="right" indent="1"/>
    </xf>
    <xf numFmtId="166" fontId="4" fillId="0" borderId="2">
      <alignment horizontal="center" vertical="center"/>
    </xf>
    <xf numFmtId="165" fontId="4" fillId="0" borderId="1">
      <alignment horizontal="center" vertical="center"/>
    </xf>
    <xf numFmtId="0" fontId="4" fillId="0" borderId="1">
      <alignment horizontal="center" vertical="center"/>
    </xf>
    <xf numFmtId="0" fontId="4" fillId="0" borderId="1">
      <alignment horizontal="left" vertical="center" indent="2"/>
    </xf>
  </cellStyleXfs>
  <cellXfs count="113">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9" fillId="0" borderId="0" xfId="3"/>
    <xf numFmtId="0" fontId="7" fillId="0" borderId="0" xfId="0" applyFont="1"/>
    <xf numFmtId="0" fontId="3" fillId="0" borderId="0" xfId="0" applyFont="1" applyAlignment="1">
      <alignment horizontal="center" vertical="center"/>
    </xf>
    <xf numFmtId="0" fontId="11" fillId="0" borderId="0" xfId="0" applyFont="1"/>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14" fillId="0" borderId="0" xfId="0" applyFont="1" applyAlignment="1">
      <alignment horizontal="left" indent="1"/>
    </xf>
    <xf numFmtId="0" fontId="4" fillId="0" borderId="0" xfId="0" applyFont="1"/>
    <xf numFmtId="0" fontId="4" fillId="0" borderId="0" xfId="7">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4" fontId="17" fillId="12" borderId="19" xfId="0" applyNumberFormat="1" applyFont="1" applyFill="1" applyBorder="1" applyAlignment="1">
      <alignment horizontal="center" vertical="center"/>
    </xf>
    <xf numFmtId="164" fontId="17" fillId="12" borderId="17" xfId="0" applyNumberFormat="1" applyFont="1" applyFill="1" applyBorder="1" applyAlignment="1">
      <alignment horizontal="center" vertical="center"/>
    </xf>
    <xf numFmtId="164" fontId="17" fillId="12" borderId="18" xfId="0" applyNumberFormat="1" applyFont="1" applyFill="1" applyBorder="1" applyAlignment="1">
      <alignment horizontal="center" vertical="center"/>
    </xf>
    <xf numFmtId="0" fontId="18" fillId="2" borderId="16" xfId="0" applyFont="1" applyFill="1" applyBorder="1" applyAlignment="1">
      <alignment horizontal="center" vertical="center" shrinkToFit="1"/>
    </xf>
    <xf numFmtId="0" fontId="18" fillId="2" borderId="14" xfId="0" applyFont="1" applyFill="1" applyBorder="1" applyAlignment="1">
      <alignment horizontal="center" vertical="center" shrinkToFit="1"/>
    </xf>
    <xf numFmtId="0" fontId="18" fillId="2" borderId="15" xfId="0" applyFont="1" applyFill="1" applyBorder="1" applyAlignment="1">
      <alignment horizontal="center" vertical="center" shrinkToFit="1"/>
    </xf>
    <xf numFmtId="0" fontId="15" fillId="0" borderId="0" xfId="0" applyFont="1"/>
    <xf numFmtId="0" fontId="15" fillId="0" borderId="0" xfId="0" applyFont="1" applyAlignment="1">
      <alignment wrapText="1"/>
    </xf>
    <xf numFmtId="0" fontId="4" fillId="0" borderId="3" xfId="0" applyFont="1" applyBorder="1" applyAlignment="1">
      <alignment vertical="center"/>
    </xf>
    <xf numFmtId="0" fontId="19" fillId="6" borderId="0" xfId="0" applyFont="1" applyFill="1" applyAlignment="1">
      <alignment horizontal="left" vertical="center" indent="1"/>
    </xf>
    <xf numFmtId="0" fontId="15" fillId="6" borderId="0" xfId="10" applyFont="1" applyFill="1" applyBorder="1" applyAlignment="1">
      <alignment vertical="center"/>
    </xf>
    <xf numFmtId="9" fontId="1" fillId="6" borderId="0" xfId="2" applyFont="1" applyFill="1" applyAlignment="1">
      <alignment horizontal="center" vertical="center"/>
    </xf>
    <xf numFmtId="165" fontId="15"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5" fillId="3" borderId="6" xfId="11" applyFont="1" applyFill="1" applyBorder="1">
      <alignment horizontal="left" vertical="center" indent="2"/>
    </xf>
    <xf numFmtId="0" fontId="15" fillId="3" borderId="6" xfId="10" applyFont="1" applyFill="1" applyBorder="1" applyAlignment="1">
      <alignment vertical="center"/>
    </xf>
    <xf numFmtId="9" fontId="1" fillId="3" borderId="6" xfId="2" applyFont="1" applyFill="1" applyBorder="1" applyAlignment="1">
      <alignment horizontal="center" vertical="center"/>
    </xf>
    <xf numFmtId="165" fontId="15" fillId="3" borderId="6" xfId="9" applyFont="1" applyFill="1" applyBorder="1">
      <alignment horizontal="center" vertical="center"/>
    </xf>
    <xf numFmtId="0" fontId="4" fillId="0" borderId="4" xfId="0" applyFont="1" applyBorder="1" applyAlignment="1">
      <alignment vertical="center"/>
    </xf>
    <xf numFmtId="0" fontId="15" fillId="3" borderId="7" xfId="11" applyFont="1" applyFill="1" applyBorder="1">
      <alignment horizontal="left" vertical="center" indent="2"/>
    </xf>
    <xf numFmtId="0" fontId="15" fillId="3" borderId="7" xfId="10" applyFont="1" applyFill="1" applyBorder="1" applyAlignment="1">
      <alignment vertical="center"/>
    </xf>
    <xf numFmtId="9" fontId="1" fillId="3" borderId="7" xfId="2" applyFont="1" applyFill="1" applyBorder="1" applyAlignment="1">
      <alignment horizontal="center" vertical="center"/>
    </xf>
    <xf numFmtId="165" fontId="15" fillId="3" borderId="7" xfId="9" applyFont="1" applyFill="1" applyBorder="1">
      <alignment horizontal="center" vertical="center"/>
    </xf>
    <xf numFmtId="0" fontId="4" fillId="0" borderId="4" xfId="0" applyFont="1" applyBorder="1" applyAlignment="1">
      <alignment horizontal="right" vertical="center"/>
    </xf>
    <xf numFmtId="0" fontId="19" fillId="7" borderId="0" xfId="0" applyFont="1" applyFill="1" applyAlignment="1">
      <alignment horizontal="left" vertical="center" indent="1"/>
    </xf>
    <xf numFmtId="0" fontId="15" fillId="7" borderId="0" xfId="10" applyFont="1" applyFill="1" applyBorder="1" applyAlignment="1">
      <alignment vertical="center"/>
    </xf>
    <xf numFmtId="9" fontId="1" fillId="7" borderId="0" xfId="2" applyFont="1" applyFill="1" applyAlignment="1">
      <alignment horizontal="center" vertical="center"/>
    </xf>
    <xf numFmtId="165" fontId="15"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15" fillId="4" borderId="5" xfId="11" applyFont="1" applyFill="1" applyBorder="1">
      <alignment horizontal="left" vertical="center" indent="2"/>
    </xf>
    <xf numFmtId="0" fontId="15" fillId="4" borderId="5" xfId="10" applyFont="1" applyFill="1" applyBorder="1" applyAlignment="1">
      <alignment vertical="center"/>
    </xf>
    <xf numFmtId="9" fontId="1" fillId="4" borderId="5" xfId="2" applyFont="1" applyFill="1" applyBorder="1" applyAlignment="1">
      <alignment horizontal="center" vertical="center"/>
    </xf>
    <xf numFmtId="165" fontId="15" fillId="4" borderId="5" xfId="9" applyFont="1" applyFill="1" applyBorder="1">
      <alignment horizontal="center" vertical="center"/>
    </xf>
    <xf numFmtId="0" fontId="19" fillId="8" borderId="0" xfId="0" applyFont="1" applyFill="1" applyAlignment="1">
      <alignment horizontal="left" vertical="center" indent="1"/>
    </xf>
    <xf numFmtId="0" fontId="15" fillId="8" borderId="0" xfId="10" applyFont="1" applyFill="1" applyBorder="1" applyAlignment="1">
      <alignment vertical="center"/>
    </xf>
    <xf numFmtId="9" fontId="1" fillId="8" borderId="0" xfId="2" applyFont="1" applyFill="1" applyAlignment="1">
      <alignment horizontal="center" vertical="center"/>
    </xf>
    <xf numFmtId="165" fontId="15"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1" xfId="0" applyFont="1" applyBorder="1" applyAlignment="1">
      <alignment vertical="center"/>
    </xf>
    <xf numFmtId="0" fontId="15" fillId="5" borderId="8" xfId="11" applyFont="1" applyFill="1" applyBorder="1">
      <alignment horizontal="left" vertical="center" indent="2"/>
    </xf>
    <xf numFmtId="0" fontId="15" fillId="5" borderId="8" xfId="10" applyFont="1" applyFill="1" applyBorder="1" applyAlignment="1">
      <alignment vertical="center"/>
    </xf>
    <xf numFmtId="9" fontId="1" fillId="5" borderId="8" xfId="2" applyFont="1" applyFill="1" applyBorder="1" applyAlignment="1">
      <alignment horizontal="center" vertical="center"/>
    </xf>
    <xf numFmtId="165" fontId="15" fillId="5" borderId="8" xfId="9" applyFont="1" applyFill="1" applyBorder="1">
      <alignment horizontal="center" vertical="center"/>
    </xf>
    <xf numFmtId="0" fontId="19" fillId="9" borderId="0" xfId="0" applyFont="1" applyFill="1" applyAlignment="1">
      <alignment horizontal="left" vertical="center" indent="1"/>
    </xf>
    <xf numFmtId="0" fontId="15" fillId="9" borderId="0" xfId="10" applyFont="1" applyFill="1" applyBorder="1" applyAlignment="1">
      <alignment vertical="center"/>
    </xf>
    <xf numFmtId="9" fontId="1" fillId="9" borderId="0" xfId="2" applyFont="1" applyFill="1" applyAlignment="1">
      <alignment horizontal="center" vertical="center"/>
    </xf>
    <xf numFmtId="165" fontId="15" fillId="9" borderId="0" xfId="0" applyNumberFormat="1" applyFont="1" applyFill="1" applyAlignment="1">
      <alignment horizontal="center" vertical="center"/>
    </xf>
    <xf numFmtId="165" fontId="1" fillId="9" borderId="0" xfId="0" applyNumberFormat="1" applyFont="1" applyFill="1" applyAlignment="1">
      <alignment horizontal="center" vertical="center"/>
    </xf>
    <xf numFmtId="0" fontId="4" fillId="0" borderId="10" xfId="0" applyFont="1" applyBorder="1" applyAlignment="1">
      <alignment vertical="center"/>
    </xf>
    <xf numFmtId="0" fontId="15" fillId="10" borderId="9" xfId="11" applyFont="1" applyFill="1" applyBorder="1">
      <alignment horizontal="left" vertical="center" indent="2"/>
    </xf>
    <xf numFmtId="0" fontId="15" fillId="10" borderId="9" xfId="10" applyFont="1" applyFill="1" applyBorder="1" applyAlignment="1">
      <alignment vertical="center"/>
    </xf>
    <xf numFmtId="9" fontId="1" fillId="10" borderId="9" xfId="2" applyFont="1" applyFill="1" applyBorder="1" applyAlignment="1">
      <alignment horizontal="center" vertical="center"/>
    </xf>
    <xf numFmtId="165" fontId="15" fillId="10" borderId="9" xfId="9" applyFont="1" applyFill="1" applyBorder="1">
      <alignment horizontal="center" vertical="center"/>
    </xf>
    <xf numFmtId="0" fontId="15" fillId="0" borderId="0" xfId="11" applyFont="1" applyBorder="1">
      <alignment horizontal="left" vertical="center" indent="2"/>
    </xf>
    <xf numFmtId="0" fontId="15" fillId="0" borderId="0" xfId="10" applyFont="1" applyBorder="1" applyAlignment="1">
      <alignment vertical="center"/>
    </xf>
    <xf numFmtId="9" fontId="1" fillId="0" borderId="0" xfId="2" applyFont="1" applyAlignment="1">
      <alignment horizontal="center" vertical="center"/>
    </xf>
    <xf numFmtId="165" fontId="15" fillId="0" borderId="0" xfId="9" applyFont="1" applyBorder="1">
      <alignment horizontal="center" vertical="center"/>
    </xf>
    <xf numFmtId="0" fontId="20" fillId="2" borderId="0" xfId="0" applyFont="1" applyFill="1" applyAlignment="1">
      <alignment horizontal="left" vertical="center" indent="1"/>
    </xf>
    <xf numFmtId="0" fontId="20" fillId="2" borderId="0" xfId="0" applyFont="1" applyFill="1" applyAlignment="1">
      <alignment vertical="center"/>
    </xf>
    <xf numFmtId="9" fontId="1" fillId="2" borderId="0" xfId="2" applyFont="1" applyFill="1" applyAlignment="1">
      <alignment horizontal="center" vertical="center"/>
    </xf>
    <xf numFmtId="165" fontId="21"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2" fillId="0" borderId="0" xfId="5" applyFont="1" applyAlignment="1">
      <alignment horizontal="left" vertical="center" indent="1"/>
    </xf>
    <xf numFmtId="0" fontId="22" fillId="0" borderId="0" xfId="6" applyFont="1" applyAlignment="1">
      <alignment horizontal="left" vertical="center" indent="1"/>
    </xf>
    <xf numFmtId="0" fontId="24" fillId="0" borderId="0" xfId="4" applyFont="1" applyAlignment="1">
      <alignment horizontal="left"/>
    </xf>
    <xf numFmtId="0" fontId="9" fillId="0" borderId="0" xfId="3" applyAlignment="1">
      <alignment wrapText="1"/>
    </xf>
    <xf numFmtId="168" fontId="0" fillId="0" borderId="0" xfId="0" applyNumberFormat="1"/>
    <xf numFmtId="168" fontId="9" fillId="0" borderId="0" xfId="0" applyNumberFormat="1" applyFont="1" applyAlignment="1">
      <alignment horizontal="center"/>
    </xf>
    <xf numFmtId="167" fontId="15" fillId="2" borderId="13" xfId="0" applyNumberFormat="1" applyFont="1" applyFill="1" applyBorder="1" applyAlignment="1">
      <alignment horizontal="center" vertical="center" wrapText="1"/>
    </xf>
    <xf numFmtId="0" fontId="0" fillId="0" borderId="19" xfId="0" applyBorder="1"/>
    <xf numFmtId="0" fontId="0" fillId="0" borderId="17" xfId="0" applyBorder="1"/>
    <xf numFmtId="167" fontId="15" fillId="2" borderId="17" xfId="0" applyNumberFormat="1" applyFont="1" applyFill="1" applyBorder="1" applyAlignment="1">
      <alignment horizontal="center" vertical="center" wrapText="1"/>
    </xf>
    <xf numFmtId="0" fontId="16" fillId="11" borderId="19" xfId="0" applyFont="1" applyFill="1" applyBorder="1" applyAlignment="1">
      <alignment horizontal="center" vertical="center"/>
    </xf>
    <xf numFmtId="0" fontId="0" fillId="0" borderId="20" xfId="0" applyBorder="1"/>
    <xf numFmtId="0" fontId="23" fillId="0" borderId="0" xfId="0" applyFont="1" applyAlignment="1">
      <alignment horizontal="left"/>
    </xf>
    <xf numFmtId="0" fontId="0" fillId="0" borderId="0" xfId="0"/>
    <xf numFmtId="166" fontId="23" fillId="0" borderId="0" xfId="8" applyFont="1" applyBorder="1" applyAlignment="1">
      <alignment horizontal="left"/>
    </xf>
    <xf numFmtId="0" fontId="22" fillId="0" borderId="0" xfId="7" applyFont="1" applyAlignment="1">
      <alignment horizontal="left"/>
    </xf>
    <xf numFmtId="0" fontId="9" fillId="0" borderId="0" xfId="3" applyAlignment="1">
      <alignment wrapText="1"/>
    </xf>
    <xf numFmtId="0" fontId="4" fillId="0" borderId="0" xfId="0" applyFont="1"/>
    <xf numFmtId="0" fontId="16" fillId="11" borderId="19" xfId="0" applyFont="1" applyFill="1" applyBorder="1" applyAlignment="1">
      <alignment horizontal="left" vertical="center" indent="1"/>
    </xf>
    <xf numFmtId="0" fontId="16" fillId="11" borderId="19" xfId="0" applyFont="1" applyFill="1" applyBorder="1" applyAlignment="1">
      <alignment vertical="center"/>
    </xf>
    <xf numFmtId="0" fontId="25" fillId="0" borderId="21" xfId="0" applyFont="1" applyBorder="1" applyAlignment="1">
      <alignment horizontal="center" vertical="top"/>
    </xf>
    <xf numFmtId="0" fontId="25" fillId="0" borderId="22" xfId="0" applyFont="1" applyBorder="1" applyAlignment="1">
      <alignment horizontal="center" vertical="top"/>
    </xf>
    <xf numFmtId="0" fontId="26" fillId="0" borderId="0" xfId="0" applyFont="1"/>
    <xf numFmtId="168" fontId="26" fillId="0" borderId="0" xfId="0" applyNumberFormat="1" applyFont="1"/>
    <xf numFmtId="0" fontId="26" fillId="13" borderId="0" xfId="0" applyFont="1" applyFill="1"/>
  </cellXfs>
  <cellStyles count="12">
    <cellStyle name="Date" xfId="9" xr:uid="{00000000-0005-0000-0000-00000A000000}"/>
    <cellStyle name="Heading 1" xfId="5" builtinId="16"/>
    <cellStyle name="Heading 2" xfId="6" builtinId="17"/>
    <cellStyle name="Heading 3" xfId="7" builtinId="18"/>
    <cellStyle name="Hyperlink" xfId="1" builtinId="8"/>
    <cellStyle name="Name" xfId="10" xr:uid="{00000000-0005-0000-0000-00000B000000}"/>
    <cellStyle name="Normal" xfId="0" builtinId="0"/>
    <cellStyle name="Percent" xfId="2" builtinId="5"/>
    <cellStyle name="Project Start" xfId="8" xr:uid="{00000000-0005-0000-0000-000009000000}"/>
    <cellStyle name="Task" xfId="11" xr:uid="{00000000-0005-0000-0000-00000C000000}"/>
    <cellStyle name="Title" xfId="4" builtinId="15"/>
    <cellStyle name="zHiddenText" xfId="3" xr:uid="{00000000-0005-0000-0000-000003000000}"/>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127"/>
  <sheetViews>
    <sheetView showGridLines="0" tabSelected="1" showRuler="0" topLeftCell="A21" zoomScale="127" zoomScaleNormal="100" zoomScalePageLayoutView="70" workbookViewId="0">
      <selection activeCell="I2" sqref="I2:O2"/>
    </sheetView>
  </sheetViews>
  <sheetFormatPr baseColWidth="10" defaultColWidth="8.6640625" defaultRowHeight="30" customHeight="1" x14ac:dyDescent="0.15"/>
  <cols>
    <col min="1" max="1" width="2.6640625" style="7" customWidth="1"/>
    <col min="2" max="2" width="22.6640625" customWidth="1"/>
    <col min="3" max="3" width="16.6640625" customWidth="1"/>
    <col min="4" max="4" width="10.6640625" customWidth="1"/>
    <col min="5" max="5" width="10.6640625" style="2" customWidth="1"/>
    <col min="6" max="6" width="10.6640625" customWidth="1"/>
    <col min="7" max="7" width="2.6640625" customWidth="1"/>
    <col min="8" max="8" width="6" hidden="1" customWidth="1"/>
    <col min="9" max="65" width="2.6640625" customWidth="1"/>
  </cols>
  <sheetData>
    <row r="1" spans="1:64" ht="90" customHeight="1" x14ac:dyDescent="0.85">
      <c r="A1" s="91"/>
      <c r="B1" s="90" t="s">
        <v>144</v>
      </c>
      <c r="C1" s="10"/>
      <c r="D1" s="11"/>
      <c r="E1" s="12"/>
      <c r="F1" s="13"/>
      <c r="H1" s="1"/>
      <c r="I1" s="103" t="s">
        <v>0</v>
      </c>
      <c r="J1" s="101"/>
      <c r="K1" s="101"/>
      <c r="L1" s="101"/>
      <c r="M1" s="101"/>
      <c r="N1" s="101"/>
      <c r="O1" s="101"/>
      <c r="P1" s="16"/>
      <c r="Q1" s="102">
        <v>45841</v>
      </c>
      <c r="R1" s="101"/>
      <c r="S1" s="101"/>
      <c r="T1" s="101"/>
      <c r="U1" s="101"/>
      <c r="V1" s="101"/>
      <c r="W1" s="101"/>
      <c r="X1" s="101"/>
      <c r="Y1" s="101"/>
      <c r="Z1" s="101"/>
    </row>
    <row r="2" spans="1:64" ht="30" customHeight="1" x14ac:dyDescent="0.4">
      <c r="B2" s="88"/>
      <c r="C2" s="89"/>
      <c r="D2" s="14"/>
      <c r="E2" s="15"/>
      <c r="F2" s="14"/>
      <c r="I2" s="103" t="s">
        <v>1</v>
      </c>
      <c r="J2" s="101"/>
      <c r="K2" s="101"/>
      <c r="L2" s="101"/>
      <c r="M2" s="101"/>
      <c r="N2" s="101"/>
      <c r="O2" s="101"/>
      <c r="P2" s="16"/>
      <c r="Q2" s="100">
        <v>1</v>
      </c>
      <c r="R2" s="101"/>
      <c r="S2" s="101"/>
      <c r="T2" s="101"/>
      <c r="U2" s="101"/>
      <c r="V2" s="101"/>
      <c r="W2" s="101"/>
      <c r="X2" s="101"/>
      <c r="Y2" s="101"/>
      <c r="Z2" s="101"/>
    </row>
    <row r="3" spans="1:64" s="18" customFormat="1" ht="30" customHeight="1" x14ac:dyDescent="0.15">
      <c r="A3" s="7"/>
      <c r="B3" s="17"/>
      <c r="D3" s="19"/>
      <c r="E3" s="20"/>
    </row>
    <row r="4" spans="1:64" s="18" customFormat="1" ht="30" customHeight="1" x14ac:dyDescent="0.15">
      <c r="A4" s="91"/>
      <c r="B4" s="21"/>
      <c r="E4" s="22"/>
      <c r="I4" s="97">
        <f>I5</f>
        <v>45838</v>
      </c>
      <c r="J4" s="95"/>
      <c r="K4" s="95"/>
      <c r="L4" s="95"/>
      <c r="M4" s="95"/>
      <c r="N4" s="95"/>
      <c r="O4" s="96"/>
      <c r="P4" s="94">
        <f>P5</f>
        <v>45845</v>
      </c>
      <c r="Q4" s="95"/>
      <c r="R4" s="95"/>
      <c r="S4" s="95"/>
      <c r="T4" s="95"/>
      <c r="U4" s="95"/>
      <c r="V4" s="96"/>
      <c r="W4" s="94">
        <f>W5</f>
        <v>45852</v>
      </c>
      <c r="X4" s="95"/>
      <c r="Y4" s="95"/>
      <c r="Z4" s="95"/>
      <c r="AA4" s="95"/>
      <c r="AB4" s="95"/>
      <c r="AC4" s="96"/>
      <c r="AD4" s="94">
        <f>AD5</f>
        <v>45859</v>
      </c>
      <c r="AE4" s="95"/>
      <c r="AF4" s="95"/>
      <c r="AG4" s="95"/>
      <c r="AH4" s="95"/>
      <c r="AI4" s="95"/>
      <c r="AJ4" s="96"/>
      <c r="AK4" s="94">
        <f>AK5</f>
        <v>45866</v>
      </c>
      <c r="AL4" s="95"/>
      <c r="AM4" s="95"/>
      <c r="AN4" s="95"/>
      <c r="AO4" s="95"/>
      <c r="AP4" s="95"/>
      <c r="AQ4" s="96"/>
      <c r="AR4" s="94">
        <f>AR5</f>
        <v>45873</v>
      </c>
      <c r="AS4" s="95"/>
      <c r="AT4" s="95"/>
      <c r="AU4" s="95"/>
      <c r="AV4" s="95"/>
      <c r="AW4" s="95"/>
      <c r="AX4" s="96"/>
      <c r="AY4" s="94">
        <f>AY5</f>
        <v>45880</v>
      </c>
      <c r="AZ4" s="95"/>
      <c r="BA4" s="95"/>
      <c r="BB4" s="95"/>
      <c r="BC4" s="95"/>
      <c r="BD4" s="95"/>
      <c r="BE4" s="96"/>
      <c r="BF4" s="94">
        <f>BF5</f>
        <v>45887</v>
      </c>
      <c r="BG4" s="95"/>
      <c r="BH4" s="95"/>
      <c r="BI4" s="95"/>
      <c r="BJ4" s="95"/>
      <c r="BK4" s="95"/>
      <c r="BL4" s="96"/>
    </row>
    <row r="5" spans="1:64" s="18" customFormat="1" ht="15" customHeight="1" x14ac:dyDescent="0.15">
      <c r="A5" s="104"/>
      <c r="B5" s="106" t="s">
        <v>2</v>
      </c>
      <c r="C5" s="107" t="s">
        <v>3</v>
      </c>
      <c r="D5" s="98" t="s">
        <v>4</v>
      </c>
      <c r="E5" s="98" t="s">
        <v>5</v>
      </c>
      <c r="F5" s="98" t="s">
        <v>6</v>
      </c>
      <c r="I5" s="23">
        <f>Project_Start-WEEKDAY(Project_Start,1)+2+7*(Display_Week-1)</f>
        <v>45838</v>
      </c>
      <c r="J5" s="23">
        <f t="shared" ref="J5:AO5" si="0">I5+1</f>
        <v>45839</v>
      </c>
      <c r="K5" s="23">
        <f t="shared" si="0"/>
        <v>45840</v>
      </c>
      <c r="L5" s="23">
        <f t="shared" si="0"/>
        <v>45841</v>
      </c>
      <c r="M5" s="23">
        <f t="shared" si="0"/>
        <v>45842</v>
      </c>
      <c r="N5" s="23">
        <f t="shared" si="0"/>
        <v>45843</v>
      </c>
      <c r="O5" s="24">
        <f t="shared" si="0"/>
        <v>45844</v>
      </c>
      <c r="P5" s="25">
        <f t="shared" si="0"/>
        <v>45845</v>
      </c>
      <c r="Q5" s="23">
        <f t="shared" si="0"/>
        <v>45846</v>
      </c>
      <c r="R5" s="23">
        <f t="shared" si="0"/>
        <v>45847</v>
      </c>
      <c r="S5" s="23">
        <f t="shared" si="0"/>
        <v>45848</v>
      </c>
      <c r="T5" s="23">
        <f t="shared" si="0"/>
        <v>45849</v>
      </c>
      <c r="U5" s="23">
        <f t="shared" si="0"/>
        <v>45850</v>
      </c>
      <c r="V5" s="24">
        <f t="shared" si="0"/>
        <v>45851</v>
      </c>
      <c r="W5" s="25">
        <f t="shared" si="0"/>
        <v>45852</v>
      </c>
      <c r="X5" s="23">
        <f t="shared" si="0"/>
        <v>45853</v>
      </c>
      <c r="Y5" s="23">
        <f t="shared" si="0"/>
        <v>45854</v>
      </c>
      <c r="Z5" s="23">
        <f t="shared" si="0"/>
        <v>45855</v>
      </c>
      <c r="AA5" s="23">
        <f t="shared" si="0"/>
        <v>45856</v>
      </c>
      <c r="AB5" s="23">
        <f t="shared" si="0"/>
        <v>45857</v>
      </c>
      <c r="AC5" s="24">
        <f t="shared" si="0"/>
        <v>45858</v>
      </c>
      <c r="AD5" s="25">
        <f t="shared" si="0"/>
        <v>45859</v>
      </c>
      <c r="AE5" s="23">
        <f t="shared" si="0"/>
        <v>45860</v>
      </c>
      <c r="AF5" s="23">
        <f t="shared" si="0"/>
        <v>45861</v>
      </c>
      <c r="AG5" s="23">
        <f t="shared" si="0"/>
        <v>45862</v>
      </c>
      <c r="AH5" s="23">
        <f t="shared" si="0"/>
        <v>45863</v>
      </c>
      <c r="AI5" s="23">
        <f t="shared" si="0"/>
        <v>45864</v>
      </c>
      <c r="AJ5" s="24">
        <f t="shared" si="0"/>
        <v>45865</v>
      </c>
      <c r="AK5" s="25">
        <f t="shared" si="0"/>
        <v>45866</v>
      </c>
      <c r="AL5" s="23">
        <f t="shared" si="0"/>
        <v>45867</v>
      </c>
      <c r="AM5" s="23">
        <f t="shared" si="0"/>
        <v>45868</v>
      </c>
      <c r="AN5" s="23">
        <f t="shared" si="0"/>
        <v>45869</v>
      </c>
      <c r="AO5" s="23">
        <f t="shared" si="0"/>
        <v>45870</v>
      </c>
      <c r="AP5" s="23">
        <f t="shared" ref="AP5:BL5" si="1">AO5+1</f>
        <v>45871</v>
      </c>
      <c r="AQ5" s="24">
        <f t="shared" si="1"/>
        <v>45872</v>
      </c>
      <c r="AR5" s="25">
        <f t="shared" si="1"/>
        <v>45873</v>
      </c>
      <c r="AS5" s="23">
        <f t="shared" si="1"/>
        <v>45874</v>
      </c>
      <c r="AT5" s="23">
        <f t="shared" si="1"/>
        <v>45875</v>
      </c>
      <c r="AU5" s="23">
        <f t="shared" si="1"/>
        <v>45876</v>
      </c>
      <c r="AV5" s="23">
        <f t="shared" si="1"/>
        <v>45877</v>
      </c>
      <c r="AW5" s="23">
        <f t="shared" si="1"/>
        <v>45878</v>
      </c>
      <c r="AX5" s="24">
        <f t="shared" si="1"/>
        <v>45879</v>
      </c>
      <c r="AY5" s="25">
        <f t="shared" si="1"/>
        <v>45880</v>
      </c>
      <c r="AZ5" s="23">
        <f t="shared" si="1"/>
        <v>45881</v>
      </c>
      <c r="BA5" s="23">
        <f t="shared" si="1"/>
        <v>45882</v>
      </c>
      <c r="BB5" s="23">
        <f t="shared" si="1"/>
        <v>45883</v>
      </c>
      <c r="BC5" s="23">
        <f t="shared" si="1"/>
        <v>45884</v>
      </c>
      <c r="BD5" s="23">
        <f t="shared" si="1"/>
        <v>45885</v>
      </c>
      <c r="BE5" s="24">
        <f t="shared" si="1"/>
        <v>45886</v>
      </c>
      <c r="BF5" s="25">
        <f t="shared" si="1"/>
        <v>45887</v>
      </c>
      <c r="BG5" s="23">
        <f t="shared" si="1"/>
        <v>45888</v>
      </c>
      <c r="BH5" s="23">
        <f t="shared" si="1"/>
        <v>45889</v>
      </c>
      <c r="BI5" s="23">
        <f t="shared" si="1"/>
        <v>45890</v>
      </c>
      <c r="BJ5" s="23">
        <f t="shared" si="1"/>
        <v>45891</v>
      </c>
      <c r="BK5" s="23">
        <f t="shared" si="1"/>
        <v>45892</v>
      </c>
      <c r="BL5" s="23">
        <f t="shared" si="1"/>
        <v>45893</v>
      </c>
    </row>
    <row r="6" spans="1:64" s="18" customFormat="1" ht="15" customHeight="1" thickBot="1" x14ac:dyDescent="0.2">
      <c r="A6" s="105"/>
      <c r="B6" s="99"/>
      <c r="C6" s="99"/>
      <c r="D6" s="99"/>
      <c r="E6" s="99"/>
      <c r="F6" s="99"/>
      <c r="I6" s="26" t="str">
        <f t="shared" ref="I6:AN6" si="2">LEFT(TEXT(I5,"ddd"),1)</f>
        <v>M</v>
      </c>
      <c r="J6" s="27" t="str">
        <f t="shared" si="2"/>
        <v>T</v>
      </c>
      <c r="K6" s="27" t="str">
        <f t="shared" si="2"/>
        <v>W</v>
      </c>
      <c r="L6" s="27" t="str">
        <f t="shared" si="2"/>
        <v>T</v>
      </c>
      <c r="M6" s="27" t="str">
        <f t="shared" si="2"/>
        <v>F</v>
      </c>
      <c r="N6" s="27" t="str">
        <f t="shared" si="2"/>
        <v>S</v>
      </c>
      <c r="O6" s="27" t="str">
        <f t="shared" si="2"/>
        <v>S</v>
      </c>
      <c r="P6" s="27" t="str">
        <f t="shared" si="2"/>
        <v>M</v>
      </c>
      <c r="Q6" s="27" t="str">
        <f t="shared" si="2"/>
        <v>T</v>
      </c>
      <c r="R6" s="27" t="str">
        <f t="shared" si="2"/>
        <v>W</v>
      </c>
      <c r="S6" s="27" t="str">
        <f t="shared" si="2"/>
        <v>T</v>
      </c>
      <c r="T6" s="27" t="str">
        <f t="shared" si="2"/>
        <v>F</v>
      </c>
      <c r="U6" s="27" t="str">
        <f t="shared" si="2"/>
        <v>S</v>
      </c>
      <c r="V6" s="27" t="str">
        <f t="shared" si="2"/>
        <v>S</v>
      </c>
      <c r="W6" s="27" t="str">
        <f t="shared" si="2"/>
        <v>M</v>
      </c>
      <c r="X6" s="27" t="str">
        <f t="shared" si="2"/>
        <v>T</v>
      </c>
      <c r="Y6" s="27" t="str">
        <f t="shared" si="2"/>
        <v>W</v>
      </c>
      <c r="Z6" s="27" t="str">
        <f t="shared" si="2"/>
        <v>T</v>
      </c>
      <c r="AA6" s="27" t="str">
        <f t="shared" si="2"/>
        <v>F</v>
      </c>
      <c r="AB6" s="27" t="str">
        <f t="shared" si="2"/>
        <v>S</v>
      </c>
      <c r="AC6" s="27" t="str">
        <f t="shared" si="2"/>
        <v>S</v>
      </c>
      <c r="AD6" s="27" t="str">
        <f t="shared" si="2"/>
        <v>M</v>
      </c>
      <c r="AE6" s="27" t="str">
        <f t="shared" si="2"/>
        <v>T</v>
      </c>
      <c r="AF6" s="27" t="str">
        <f t="shared" si="2"/>
        <v>W</v>
      </c>
      <c r="AG6" s="27" t="str">
        <f t="shared" si="2"/>
        <v>T</v>
      </c>
      <c r="AH6" s="27" t="str">
        <f t="shared" si="2"/>
        <v>F</v>
      </c>
      <c r="AI6" s="27" t="str">
        <f t="shared" si="2"/>
        <v>S</v>
      </c>
      <c r="AJ6" s="27" t="str">
        <f t="shared" si="2"/>
        <v>S</v>
      </c>
      <c r="AK6" s="27" t="str">
        <f t="shared" si="2"/>
        <v>M</v>
      </c>
      <c r="AL6" s="27" t="str">
        <f t="shared" si="2"/>
        <v>T</v>
      </c>
      <c r="AM6" s="27" t="str">
        <f t="shared" si="2"/>
        <v>W</v>
      </c>
      <c r="AN6" s="27" t="str">
        <f t="shared" si="2"/>
        <v>T</v>
      </c>
      <c r="AO6" s="27" t="str">
        <f t="shared" ref="AO6:BT6" si="3">LEFT(TEXT(AO5,"ddd"),1)</f>
        <v>F</v>
      </c>
      <c r="AP6" s="27" t="str">
        <f t="shared" si="3"/>
        <v>S</v>
      </c>
      <c r="AQ6" s="27" t="str">
        <f t="shared" si="3"/>
        <v>S</v>
      </c>
      <c r="AR6" s="27" t="str">
        <f t="shared" si="3"/>
        <v>M</v>
      </c>
      <c r="AS6" s="27" t="str">
        <f t="shared" si="3"/>
        <v>T</v>
      </c>
      <c r="AT6" s="27" t="str">
        <f t="shared" si="3"/>
        <v>W</v>
      </c>
      <c r="AU6" s="27" t="str">
        <f t="shared" si="3"/>
        <v>T</v>
      </c>
      <c r="AV6" s="27" t="str">
        <f t="shared" si="3"/>
        <v>F</v>
      </c>
      <c r="AW6" s="27" t="str">
        <f t="shared" si="3"/>
        <v>S</v>
      </c>
      <c r="AX6" s="27" t="str">
        <f t="shared" si="3"/>
        <v>S</v>
      </c>
      <c r="AY6" s="27" t="str">
        <f t="shared" si="3"/>
        <v>M</v>
      </c>
      <c r="AZ6" s="27" t="str">
        <f t="shared" si="3"/>
        <v>T</v>
      </c>
      <c r="BA6" s="27" t="str">
        <f t="shared" si="3"/>
        <v>W</v>
      </c>
      <c r="BB6" s="27" t="str">
        <f t="shared" si="3"/>
        <v>T</v>
      </c>
      <c r="BC6" s="27" t="str">
        <f t="shared" si="3"/>
        <v>F</v>
      </c>
      <c r="BD6" s="27" t="str">
        <f t="shared" si="3"/>
        <v>S</v>
      </c>
      <c r="BE6" s="27" t="str">
        <f t="shared" si="3"/>
        <v>S</v>
      </c>
      <c r="BF6" s="27" t="str">
        <f t="shared" si="3"/>
        <v>M</v>
      </c>
      <c r="BG6" s="27" t="str">
        <f t="shared" si="3"/>
        <v>T</v>
      </c>
      <c r="BH6" s="27" t="str">
        <f t="shared" si="3"/>
        <v>W</v>
      </c>
      <c r="BI6" s="27" t="str">
        <f t="shared" si="3"/>
        <v>T</v>
      </c>
      <c r="BJ6" s="27" t="str">
        <f t="shared" si="3"/>
        <v>F</v>
      </c>
      <c r="BK6" s="27" t="str">
        <f t="shared" si="3"/>
        <v>S</v>
      </c>
      <c r="BL6" s="28" t="str">
        <f t="shared" si="3"/>
        <v>S</v>
      </c>
    </row>
    <row r="7" spans="1:64" s="18" customFormat="1" ht="30" hidden="1" customHeight="1" thickBot="1" x14ac:dyDescent="0.2">
      <c r="A7" s="7" t="s">
        <v>7</v>
      </c>
      <c r="B7" s="29"/>
      <c r="C7" s="30"/>
      <c r="D7" s="29"/>
      <c r="E7" s="29"/>
      <c r="F7" s="29"/>
      <c r="H7" s="18" t="str">
        <f t="shared" ref="H7:H33" si="4">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8" customFormat="1" ht="30" customHeight="1" thickBot="1" x14ac:dyDescent="0.2">
      <c r="A8" s="91"/>
      <c r="B8" s="32" t="s">
        <v>8</v>
      </c>
      <c r="C8" s="33"/>
      <c r="D8" s="34"/>
      <c r="E8" s="35"/>
      <c r="F8" s="36"/>
      <c r="G8" s="9"/>
      <c r="H8" s="5" t="str">
        <f t="shared" si="4"/>
        <v/>
      </c>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row>
    <row r="9" spans="1:64" s="38" customFormat="1" ht="30" customHeight="1" thickBot="1" x14ac:dyDescent="0.2">
      <c r="A9" s="91"/>
      <c r="B9" s="39" t="s">
        <v>9</v>
      </c>
      <c r="C9" s="40" t="s">
        <v>10</v>
      </c>
      <c r="D9" s="41">
        <v>0</v>
      </c>
      <c r="E9" s="42">
        <v>45841</v>
      </c>
      <c r="F9" s="42">
        <v>45845</v>
      </c>
      <c r="G9" s="9"/>
      <c r="H9" s="5">
        <f t="shared" si="4"/>
        <v>5</v>
      </c>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row>
    <row r="10" spans="1:64" s="38" customFormat="1" ht="30" customHeight="1" thickBot="1" x14ac:dyDescent="0.2">
      <c r="A10" s="91"/>
      <c r="B10" s="44" t="s">
        <v>11</v>
      </c>
      <c r="C10" s="45" t="s">
        <v>10</v>
      </c>
      <c r="D10" s="46">
        <v>0</v>
      </c>
      <c r="E10" s="47">
        <v>45845</v>
      </c>
      <c r="F10" s="47">
        <v>45847</v>
      </c>
      <c r="G10" s="9"/>
      <c r="H10" s="5">
        <f t="shared" si="4"/>
        <v>3</v>
      </c>
      <c r="I10" s="43"/>
      <c r="J10" s="43"/>
      <c r="K10" s="43"/>
      <c r="L10" s="43"/>
      <c r="M10" s="43"/>
      <c r="N10" s="43"/>
      <c r="O10" s="43"/>
      <c r="P10" s="43"/>
      <c r="Q10" s="43"/>
      <c r="R10" s="43"/>
      <c r="S10" s="43"/>
      <c r="T10" s="43"/>
      <c r="U10" s="48"/>
      <c r="V10" s="48"/>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row>
    <row r="11" spans="1:64" s="38" customFormat="1" ht="30" customHeight="1" thickBot="1" x14ac:dyDescent="0.2">
      <c r="A11" s="7"/>
      <c r="B11" s="44" t="s">
        <v>12</v>
      </c>
      <c r="C11" s="45" t="s">
        <v>13</v>
      </c>
      <c r="D11" s="46">
        <v>0</v>
      </c>
      <c r="E11" s="47">
        <v>45845</v>
      </c>
      <c r="F11" s="47">
        <v>45849</v>
      </c>
      <c r="G11" s="9"/>
      <c r="H11" s="5">
        <f t="shared" si="4"/>
        <v>5</v>
      </c>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row>
    <row r="12" spans="1:64" s="38" customFormat="1" ht="30" customHeight="1" thickBot="1" x14ac:dyDescent="0.2">
      <c r="A12" s="7"/>
      <c r="B12" s="44" t="s">
        <v>14</v>
      </c>
      <c r="C12" s="45" t="s">
        <v>13</v>
      </c>
      <c r="D12" s="46">
        <v>0</v>
      </c>
      <c r="E12" s="47">
        <v>45852</v>
      </c>
      <c r="F12" s="47">
        <v>45853</v>
      </c>
      <c r="G12" s="9"/>
      <c r="H12" s="5">
        <f t="shared" si="4"/>
        <v>2</v>
      </c>
      <c r="I12" s="43"/>
      <c r="J12" s="43"/>
      <c r="K12" s="43"/>
      <c r="L12" s="43"/>
      <c r="M12" s="43"/>
      <c r="N12" s="43"/>
      <c r="O12" s="43"/>
      <c r="P12" s="43"/>
      <c r="Q12" s="43"/>
      <c r="R12" s="43"/>
      <c r="S12" s="43"/>
      <c r="T12" s="43"/>
      <c r="U12" s="43"/>
      <c r="V12" s="43"/>
      <c r="W12" s="43"/>
      <c r="X12" s="43"/>
      <c r="Y12" s="48"/>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row>
    <row r="13" spans="1:64" s="38" customFormat="1" ht="30" customHeight="1" thickBot="1" x14ac:dyDescent="0.2">
      <c r="A13" s="7"/>
      <c r="B13" s="44" t="s">
        <v>15</v>
      </c>
      <c r="C13" s="45" t="s">
        <v>13</v>
      </c>
      <c r="D13" s="46">
        <v>0</v>
      </c>
      <c r="E13" s="47">
        <v>45853</v>
      </c>
      <c r="F13" s="47">
        <v>45855</v>
      </c>
      <c r="G13" s="9"/>
      <c r="H13" s="5">
        <f t="shared" si="4"/>
        <v>3</v>
      </c>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row>
    <row r="14" spans="1:64" s="38" customFormat="1" ht="30" customHeight="1" thickBot="1" x14ac:dyDescent="0.2">
      <c r="A14" s="91"/>
      <c r="B14" s="49" t="s">
        <v>16</v>
      </c>
      <c r="C14" s="50" t="s">
        <v>13</v>
      </c>
      <c r="D14" s="51">
        <v>0</v>
      </c>
      <c r="E14" s="52">
        <v>45855</v>
      </c>
      <c r="F14" s="53">
        <v>45856</v>
      </c>
      <c r="G14" s="9"/>
      <c r="H14" s="5">
        <f t="shared" si="4"/>
        <v>2</v>
      </c>
    </row>
    <row r="15" spans="1:64" s="38" customFormat="1" ht="30" customHeight="1" thickBot="1" x14ac:dyDescent="0.2">
      <c r="A15" s="91"/>
      <c r="B15" s="54" t="s">
        <v>17</v>
      </c>
      <c r="C15" s="55" t="s">
        <v>18</v>
      </c>
      <c r="D15" s="56">
        <v>0</v>
      </c>
      <c r="E15" s="57">
        <v>45859</v>
      </c>
      <c r="F15" s="57">
        <v>45861</v>
      </c>
      <c r="G15" s="9"/>
      <c r="H15" s="5">
        <f t="shared" si="4"/>
        <v>3</v>
      </c>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row>
    <row r="16" spans="1:64" s="38" customFormat="1" ht="30" customHeight="1" thickBot="1" x14ac:dyDescent="0.2">
      <c r="A16" s="7"/>
      <c r="B16" s="54" t="s">
        <v>19</v>
      </c>
      <c r="C16" s="55" t="s">
        <v>20</v>
      </c>
      <c r="D16" s="56">
        <v>0</v>
      </c>
      <c r="E16" s="57">
        <v>45861</v>
      </c>
      <c r="F16" s="57">
        <v>45863</v>
      </c>
      <c r="G16" s="9"/>
      <c r="H16" s="5">
        <f t="shared" si="4"/>
        <v>3</v>
      </c>
      <c r="I16" s="43"/>
      <c r="J16" s="43"/>
      <c r="K16" s="43"/>
      <c r="L16" s="43"/>
      <c r="M16" s="43"/>
      <c r="N16" s="43"/>
      <c r="O16" s="43"/>
      <c r="P16" s="43"/>
      <c r="Q16" s="43"/>
      <c r="R16" s="43"/>
      <c r="S16" s="43"/>
      <c r="T16" s="43"/>
      <c r="U16" s="48"/>
      <c r="V16" s="48"/>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row>
    <row r="17" spans="1:64" s="38" customFormat="1" ht="30" customHeight="1" thickBot="1" x14ac:dyDescent="0.2">
      <c r="A17" s="7"/>
      <c r="B17" s="54" t="s">
        <v>21</v>
      </c>
      <c r="C17" s="55" t="s">
        <v>13</v>
      </c>
      <c r="D17" s="56">
        <v>0</v>
      </c>
      <c r="E17" s="57">
        <v>45873</v>
      </c>
      <c r="F17" s="57">
        <v>45877</v>
      </c>
      <c r="G17" s="9"/>
      <c r="H17" s="5">
        <f t="shared" si="4"/>
        <v>5</v>
      </c>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row>
    <row r="18" spans="1:64" s="38" customFormat="1" ht="30" customHeight="1" thickBot="1" x14ac:dyDescent="0.2">
      <c r="A18" s="7"/>
      <c r="B18" s="54" t="s">
        <v>22</v>
      </c>
      <c r="C18" s="55" t="s">
        <v>23</v>
      </c>
      <c r="D18" s="56">
        <v>0</v>
      </c>
      <c r="E18" s="57">
        <v>45873</v>
      </c>
      <c r="F18" s="57">
        <v>45877</v>
      </c>
      <c r="G18" s="9"/>
      <c r="H18" s="5">
        <f t="shared" si="4"/>
        <v>5</v>
      </c>
      <c r="I18" s="43"/>
      <c r="J18" s="43"/>
      <c r="K18" s="43"/>
      <c r="L18" s="43"/>
      <c r="M18" s="43"/>
      <c r="N18" s="43"/>
      <c r="O18" s="43"/>
      <c r="P18" s="43"/>
      <c r="Q18" s="43"/>
      <c r="R18" s="43"/>
      <c r="S18" s="43"/>
      <c r="T18" s="43"/>
      <c r="U18" s="43"/>
      <c r="V18" s="43"/>
      <c r="W18" s="43"/>
      <c r="X18" s="43"/>
      <c r="Y18" s="48"/>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row>
    <row r="19" spans="1:64" s="38" customFormat="1" ht="30" customHeight="1" thickBot="1" x14ac:dyDescent="0.2">
      <c r="A19" s="7"/>
      <c r="B19" s="54" t="s">
        <v>24</v>
      </c>
      <c r="C19" s="55" t="s">
        <v>13</v>
      </c>
      <c r="D19" s="56">
        <v>0</v>
      </c>
      <c r="E19" s="57">
        <v>45873</v>
      </c>
      <c r="F19" s="57">
        <v>45877</v>
      </c>
      <c r="G19" s="9"/>
      <c r="H19" s="5">
        <f t="shared" si="4"/>
        <v>5</v>
      </c>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row>
    <row r="20" spans="1:64" s="38" customFormat="1" ht="30" customHeight="1" thickBot="1" x14ac:dyDescent="0.2">
      <c r="A20" s="7"/>
      <c r="B20" s="58" t="s">
        <v>25</v>
      </c>
      <c r="C20" s="59" t="s">
        <v>13</v>
      </c>
      <c r="D20" s="60">
        <v>0</v>
      </c>
      <c r="E20" s="61">
        <v>45873</v>
      </c>
      <c r="F20" s="62">
        <v>45881</v>
      </c>
      <c r="G20" s="9"/>
      <c r="H20" s="5">
        <f t="shared" si="4"/>
        <v>9</v>
      </c>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3"/>
      <c r="AT20" s="63"/>
      <c r="AU20" s="63"/>
      <c r="AV20" s="63"/>
      <c r="AW20" s="63"/>
      <c r="AX20" s="63"/>
      <c r="AY20" s="63"/>
      <c r="AZ20" s="63"/>
      <c r="BA20" s="63"/>
      <c r="BB20" s="63"/>
      <c r="BC20" s="63"/>
      <c r="BD20" s="63"/>
      <c r="BE20" s="63"/>
      <c r="BF20" s="63"/>
      <c r="BG20" s="63"/>
      <c r="BH20" s="63"/>
      <c r="BI20" s="63"/>
      <c r="BJ20" s="63"/>
      <c r="BK20" s="63"/>
      <c r="BL20" s="63"/>
    </row>
    <row r="21" spans="1:64" s="38" customFormat="1" ht="30" customHeight="1" thickBot="1" x14ac:dyDescent="0.2">
      <c r="A21" s="7"/>
      <c r="B21" s="64" t="s">
        <v>26</v>
      </c>
      <c r="C21" s="65" t="s">
        <v>13</v>
      </c>
      <c r="D21" s="66">
        <v>0</v>
      </c>
      <c r="E21" s="67">
        <v>45873</v>
      </c>
      <c r="F21" s="67">
        <v>45881</v>
      </c>
      <c r="G21" s="9"/>
      <c r="H21" s="5">
        <f t="shared" si="4"/>
        <v>9</v>
      </c>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row>
    <row r="22" spans="1:64" s="38" customFormat="1" ht="30" customHeight="1" thickBot="1" x14ac:dyDescent="0.2">
      <c r="A22" s="7"/>
      <c r="B22" s="64" t="s">
        <v>27</v>
      </c>
      <c r="C22" s="65" t="s">
        <v>20</v>
      </c>
      <c r="D22" s="66">
        <v>0</v>
      </c>
      <c r="E22" s="67">
        <v>45887</v>
      </c>
      <c r="F22" s="67">
        <v>45888</v>
      </c>
      <c r="G22" s="9"/>
      <c r="H22" s="5">
        <f t="shared" si="4"/>
        <v>2</v>
      </c>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3"/>
      <c r="BK22" s="43"/>
      <c r="BL22" s="43"/>
    </row>
    <row r="23" spans="1:64" s="38" customFormat="1" ht="30" customHeight="1" thickBot="1" x14ac:dyDescent="0.2">
      <c r="A23" s="7"/>
      <c r="B23" s="64" t="s">
        <v>28</v>
      </c>
      <c r="C23" s="65" t="s">
        <v>29</v>
      </c>
      <c r="D23" s="66">
        <v>0</v>
      </c>
      <c r="E23" s="67">
        <v>45889</v>
      </c>
      <c r="F23" s="67">
        <v>45891</v>
      </c>
      <c r="G23" s="9"/>
      <c r="H23" s="5">
        <f t="shared" si="4"/>
        <v>3</v>
      </c>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43"/>
      <c r="BK23" s="43"/>
      <c r="BL23" s="43"/>
    </row>
    <row r="24" spans="1:64" s="38" customFormat="1" ht="30" customHeight="1" thickBot="1" x14ac:dyDescent="0.2">
      <c r="A24" s="7"/>
      <c r="B24" s="64" t="s">
        <v>30</v>
      </c>
      <c r="C24" s="65" t="s">
        <v>31</v>
      </c>
      <c r="D24" s="66">
        <v>0.25</v>
      </c>
      <c r="E24" s="67">
        <f>F23+1</f>
        <v>45892</v>
      </c>
      <c r="F24" s="67">
        <f>E24+4</f>
        <v>45896</v>
      </c>
      <c r="G24" s="9"/>
      <c r="H24" s="5">
        <f t="shared" si="4"/>
        <v>5</v>
      </c>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3"/>
      <c r="BK24" s="43"/>
      <c r="BL24" s="43"/>
    </row>
    <row r="25" spans="1:64" s="38" customFormat="1" ht="30" customHeight="1" thickBot="1" x14ac:dyDescent="0.2">
      <c r="A25" s="7"/>
      <c r="B25" s="64" t="s">
        <v>32</v>
      </c>
      <c r="C25" s="65" t="s">
        <v>13</v>
      </c>
      <c r="D25" s="66">
        <v>0</v>
      </c>
      <c r="E25" s="67">
        <v>45859</v>
      </c>
      <c r="F25" s="67">
        <v>45861</v>
      </c>
      <c r="G25" s="9"/>
      <c r="H25" s="5">
        <f t="shared" si="4"/>
        <v>3</v>
      </c>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43"/>
      <c r="BK25" s="43"/>
      <c r="BL25" s="43"/>
    </row>
    <row r="26" spans="1:64" s="38" customFormat="1" ht="30" customHeight="1" thickBot="1" x14ac:dyDescent="0.2">
      <c r="A26" s="7"/>
      <c r="B26" s="68" t="s">
        <v>33</v>
      </c>
      <c r="C26" s="69" t="s">
        <v>23</v>
      </c>
      <c r="D26" s="70">
        <v>0</v>
      </c>
      <c r="E26" s="71">
        <v>45861</v>
      </c>
      <c r="F26" s="72">
        <v>45863</v>
      </c>
      <c r="G26" s="9"/>
      <c r="H26" s="5">
        <f t="shared" si="4"/>
        <v>3</v>
      </c>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3"/>
      <c r="BD26" s="73"/>
      <c r="BE26" s="73"/>
      <c r="BF26" s="73"/>
      <c r="BG26" s="73"/>
      <c r="BH26" s="73"/>
      <c r="BI26" s="73"/>
      <c r="BJ26" s="73"/>
      <c r="BK26" s="73"/>
      <c r="BL26" s="73"/>
    </row>
    <row r="27" spans="1:64" s="38" customFormat="1" ht="30" customHeight="1" thickBot="1" x14ac:dyDescent="0.2">
      <c r="A27" s="7"/>
      <c r="B27" s="74" t="s">
        <v>34</v>
      </c>
      <c r="C27" s="75" t="s">
        <v>13</v>
      </c>
      <c r="D27" s="76">
        <v>0</v>
      </c>
      <c r="E27" s="77">
        <v>45862</v>
      </c>
      <c r="F27" s="77">
        <v>45870</v>
      </c>
      <c r="G27" s="9"/>
      <c r="H27" s="5">
        <f t="shared" si="4"/>
        <v>9</v>
      </c>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row>
    <row r="28" spans="1:64" s="38" customFormat="1" ht="30" customHeight="1" thickBot="1" x14ac:dyDescent="0.2">
      <c r="A28" s="7"/>
      <c r="B28" s="74" t="s">
        <v>35</v>
      </c>
      <c r="C28" s="75" t="s">
        <v>13</v>
      </c>
      <c r="D28" s="76">
        <v>0</v>
      </c>
      <c r="E28" s="77">
        <v>45862</v>
      </c>
      <c r="F28" s="77">
        <v>45870</v>
      </c>
      <c r="G28" s="9"/>
      <c r="H28" s="5">
        <f t="shared" si="4"/>
        <v>9</v>
      </c>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c r="BH28" s="43"/>
      <c r="BI28" s="43"/>
      <c r="BJ28" s="43"/>
      <c r="BK28" s="43"/>
      <c r="BL28" s="43"/>
    </row>
    <row r="29" spans="1:64" s="38" customFormat="1" ht="30" customHeight="1" thickBot="1" x14ac:dyDescent="0.2">
      <c r="A29" s="7"/>
      <c r="B29" s="74" t="s">
        <v>36</v>
      </c>
      <c r="C29" s="75" t="s">
        <v>37</v>
      </c>
      <c r="D29" s="76">
        <v>0.5</v>
      </c>
      <c r="E29" s="77">
        <f>F28+1</f>
        <v>45871</v>
      </c>
      <c r="F29" s="77">
        <f>E29+3</f>
        <v>45874</v>
      </c>
      <c r="G29" s="9"/>
      <c r="H29" s="5">
        <f t="shared" si="4"/>
        <v>4</v>
      </c>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c r="BF29" s="43"/>
      <c r="BG29" s="43"/>
      <c r="BH29" s="43"/>
      <c r="BI29" s="43"/>
      <c r="BJ29" s="43"/>
      <c r="BK29" s="43"/>
      <c r="BL29" s="43"/>
    </row>
    <row r="30" spans="1:64" s="38" customFormat="1" ht="30" customHeight="1" thickBot="1" x14ac:dyDescent="0.2">
      <c r="A30" s="7"/>
      <c r="B30" s="74" t="s">
        <v>38</v>
      </c>
      <c r="C30" s="75" t="s">
        <v>18</v>
      </c>
      <c r="D30" s="76">
        <v>0</v>
      </c>
      <c r="E30" s="77">
        <v>45859</v>
      </c>
      <c r="F30" s="77">
        <v>45861</v>
      </c>
      <c r="G30" s="9"/>
      <c r="H30" s="5">
        <f t="shared" si="4"/>
        <v>3</v>
      </c>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3"/>
      <c r="BK30" s="43"/>
      <c r="BL30" s="43"/>
    </row>
    <row r="31" spans="1:64" s="38" customFormat="1" ht="30" customHeight="1" thickBot="1" x14ac:dyDescent="0.2">
      <c r="A31" s="7"/>
      <c r="B31" s="74" t="s">
        <v>39</v>
      </c>
      <c r="C31" s="75" t="s">
        <v>18</v>
      </c>
      <c r="D31" s="76">
        <v>0</v>
      </c>
      <c r="E31" s="77">
        <v>45861</v>
      </c>
      <c r="F31" s="77">
        <v>45863</v>
      </c>
      <c r="G31" s="9"/>
      <c r="H31" s="5">
        <f t="shared" si="4"/>
        <v>3</v>
      </c>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c r="BF31" s="43"/>
      <c r="BG31" s="43"/>
      <c r="BH31" s="43"/>
      <c r="BI31" s="43"/>
      <c r="BJ31" s="43"/>
      <c r="BK31" s="43"/>
      <c r="BL31" s="43"/>
    </row>
    <row r="32" spans="1:64" s="38" customFormat="1" ht="30" customHeight="1" thickBot="1" x14ac:dyDescent="0.2">
      <c r="A32" s="7"/>
      <c r="B32" s="78" t="s">
        <v>40</v>
      </c>
      <c r="C32" s="79" t="s">
        <v>13</v>
      </c>
      <c r="D32" s="80">
        <v>0</v>
      </c>
      <c r="E32" s="81">
        <v>45866</v>
      </c>
      <c r="F32" s="81">
        <v>45870</v>
      </c>
      <c r="G32" s="9"/>
      <c r="H32" s="5">
        <f t="shared" si="4"/>
        <v>5</v>
      </c>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row>
    <row r="33" spans="1:64" s="38" customFormat="1" ht="30" customHeight="1" thickBot="1" x14ac:dyDescent="0.2">
      <c r="A33" s="91"/>
      <c r="B33" s="82" t="s">
        <v>41</v>
      </c>
      <c r="C33" s="83" t="s">
        <v>42</v>
      </c>
      <c r="D33" s="84">
        <v>0</v>
      </c>
      <c r="E33" s="85">
        <v>45859</v>
      </c>
      <c r="F33" s="86">
        <v>45870</v>
      </c>
      <c r="G33" s="9"/>
      <c r="H33" s="6">
        <f t="shared" si="4"/>
        <v>12</v>
      </c>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row>
    <row r="34" spans="1:64" ht="30" customHeight="1" x14ac:dyDescent="0.15">
      <c r="B34" t="s">
        <v>43</v>
      </c>
      <c r="G34" s="3"/>
    </row>
    <row r="35" spans="1:64" ht="30" customHeight="1" x14ac:dyDescent="0.15">
      <c r="B35" t="s">
        <v>44</v>
      </c>
      <c r="C35" s="8" t="s">
        <v>13</v>
      </c>
      <c r="D35">
        <v>0</v>
      </c>
      <c r="E35" s="92">
        <v>45866</v>
      </c>
      <c r="F35" s="93">
        <v>45867</v>
      </c>
    </row>
    <row r="36" spans="1:64" ht="30" customHeight="1" x14ac:dyDescent="0.15">
      <c r="B36" t="s">
        <v>45</v>
      </c>
      <c r="C36" s="4" t="s">
        <v>13</v>
      </c>
      <c r="D36">
        <v>0</v>
      </c>
      <c r="E36" s="92">
        <v>45867</v>
      </c>
      <c r="F36" s="92">
        <v>45869</v>
      </c>
    </row>
    <row r="37" spans="1:64" ht="14" x14ac:dyDescent="0.15">
      <c r="B37" t="s">
        <v>46</v>
      </c>
      <c r="C37" t="s">
        <v>13</v>
      </c>
      <c r="D37">
        <v>0</v>
      </c>
      <c r="E37" s="92">
        <v>45868</v>
      </c>
      <c r="F37" s="92">
        <v>45874</v>
      </c>
    </row>
    <row r="38" spans="1:64" ht="14" x14ac:dyDescent="0.15">
      <c r="B38" t="s">
        <v>47</v>
      </c>
      <c r="C38" t="s">
        <v>13</v>
      </c>
      <c r="D38">
        <v>0</v>
      </c>
      <c r="E38" s="92">
        <v>45869</v>
      </c>
      <c r="F38" s="92">
        <v>45875</v>
      </c>
    </row>
    <row r="39" spans="1:64" ht="14" x14ac:dyDescent="0.15">
      <c r="B39" t="s">
        <v>48</v>
      </c>
      <c r="C39" t="s">
        <v>13</v>
      </c>
      <c r="D39">
        <v>0</v>
      </c>
      <c r="E39" s="92">
        <v>45870</v>
      </c>
      <c r="F39" s="92">
        <v>45877</v>
      </c>
    </row>
    <row r="40" spans="1:64" ht="14" x14ac:dyDescent="0.15">
      <c r="B40" t="s">
        <v>49</v>
      </c>
    </row>
    <row r="41" spans="1:64" ht="14" x14ac:dyDescent="0.15">
      <c r="B41" t="s">
        <v>50</v>
      </c>
      <c r="C41" t="s">
        <v>51</v>
      </c>
      <c r="D41">
        <v>0</v>
      </c>
      <c r="E41" s="92">
        <v>45887</v>
      </c>
      <c r="F41" s="92">
        <v>45889</v>
      </c>
    </row>
    <row r="42" spans="1:64" ht="14" x14ac:dyDescent="0.15">
      <c r="B42" t="s">
        <v>52</v>
      </c>
      <c r="C42" t="s">
        <v>51</v>
      </c>
      <c r="D42">
        <v>0</v>
      </c>
      <c r="E42" s="92">
        <v>45889</v>
      </c>
      <c r="F42" s="92">
        <v>45891</v>
      </c>
    </row>
    <row r="43" spans="1:64" ht="14" x14ac:dyDescent="0.15">
      <c r="B43" t="s">
        <v>53</v>
      </c>
      <c r="C43" t="s">
        <v>54</v>
      </c>
      <c r="D43">
        <v>0</v>
      </c>
      <c r="E43" s="92">
        <v>45894</v>
      </c>
      <c r="F43" s="92">
        <v>45898</v>
      </c>
    </row>
    <row r="44" spans="1:64" ht="14" x14ac:dyDescent="0.15">
      <c r="B44" t="s">
        <v>55</v>
      </c>
    </row>
    <row r="45" spans="1:64" ht="14" x14ac:dyDescent="0.15">
      <c r="B45" t="s">
        <v>56</v>
      </c>
      <c r="C45" t="s">
        <v>57</v>
      </c>
      <c r="D45">
        <v>0</v>
      </c>
      <c r="E45" s="92">
        <v>45901</v>
      </c>
      <c r="F45" s="92">
        <v>45905</v>
      </c>
    </row>
    <row r="46" spans="1:64" ht="14" x14ac:dyDescent="0.15">
      <c r="B46" t="s">
        <v>58</v>
      </c>
      <c r="C46" t="s">
        <v>57</v>
      </c>
      <c r="D46">
        <v>0</v>
      </c>
      <c r="E46" s="92">
        <v>45901</v>
      </c>
      <c r="F46" s="92">
        <v>45902</v>
      </c>
    </row>
    <row r="47" spans="1:64" ht="14" x14ac:dyDescent="0.15">
      <c r="B47" t="s">
        <v>59</v>
      </c>
      <c r="C47" t="s">
        <v>60</v>
      </c>
      <c r="D47">
        <v>0</v>
      </c>
      <c r="E47" s="92">
        <v>45902</v>
      </c>
      <c r="F47" s="92">
        <v>45905</v>
      </c>
    </row>
    <row r="48" spans="1:64" ht="14" x14ac:dyDescent="0.15">
      <c r="B48" t="s">
        <v>61</v>
      </c>
      <c r="C48" t="s">
        <v>10</v>
      </c>
      <c r="D48">
        <v>0</v>
      </c>
      <c r="E48" s="92">
        <v>45908</v>
      </c>
      <c r="F48" s="92">
        <v>45912</v>
      </c>
    </row>
    <row r="49" spans="2:6" ht="14" x14ac:dyDescent="0.15">
      <c r="B49" t="s">
        <v>62</v>
      </c>
      <c r="C49" t="s">
        <v>57</v>
      </c>
      <c r="D49">
        <v>0</v>
      </c>
      <c r="E49" s="92">
        <v>45908</v>
      </c>
      <c r="F49" s="92">
        <v>45912</v>
      </c>
    </row>
    <row r="50" spans="2:6" ht="14" x14ac:dyDescent="0.15">
      <c r="B50" t="s">
        <v>63</v>
      </c>
    </row>
    <row r="51" spans="2:6" ht="14" x14ac:dyDescent="0.15">
      <c r="B51" t="s">
        <v>64</v>
      </c>
      <c r="C51" t="s">
        <v>65</v>
      </c>
      <c r="D51">
        <v>0</v>
      </c>
      <c r="E51" s="92">
        <v>45915</v>
      </c>
      <c r="F51" s="92">
        <v>45926</v>
      </c>
    </row>
    <row r="52" spans="2:6" ht="14" x14ac:dyDescent="0.15">
      <c r="B52" t="s">
        <v>66</v>
      </c>
      <c r="C52" t="s">
        <v>67</v>
      </c>
      <c r="D52">
        <v>0</v>
      </c>
      <c r="E52" s="92">
        <v>45915</v>
      </c>
      <c r="F52" s="92">
        <v>45926</v>
      </c>
    </row>
    <row r="53" spans="2:6" ht="14" x14ac:dyDescent="0.15">
      <c r="B53" t="s">
        <v>68</v>
      </c>
    </row>
    <row r="54" spans="2:6" ht="14" x14ac:dyDescent="0.15">
      <c r="B54" t="s">
        <v>69</v>
      </c>
      <c r="C54" t="s">
        <v>10</v>
      </c>
      <c r="D54">
        <v>0</v>
      </c>
      <c r="E54" s="92">
        <v>45936</v>
      </c>
      <c r="F54" s="92">
        <v>45937</v>
      </c>
    </row>
    <row r="55" spans="2:6" ht="14" x14ac:dyDescent="0.15">
      <c r="B55" t="s">
        <v>70</v>
      </c>
      <c r="C55" t="s">
        <v>57</v>
      </c>
      <c r="D55">
        <v>0</v>
      </c>
      <c r="E55" s="92">
        <v>45936</v>
      </c>
      <c r="F55" s="92">
        <v>45940</v>
      </c>
    </row>
    <row r="56" spans="2:6" ht="14" x14ac:dyDescent="0.15">
      <c r="B56" t="s">
        <v>71</v>
      </c>
    </row>
    <row r="57" spans="2:6" ht="14" x14ac:dyDescent="0.15">
      <c r="B57" t="s">
        <v>72</v>
      </c>
      <c r="C57" t="s">
        <v>67</v>
      </c>
      <c r="D57">
        <v>0</v>
      </c>
      <c r="E57" s="92">
        <v>45943</v>
      </c>
      <c r="F57" s="92">
        <v>45961</v>
      </c>
    </row>
    <row r="58" spans="2:6" ht="14" x14ac:dyDescent="0.15"/>
    <row r="59" spans="2:6" ht="14" x14ac:dyDescent="0.15"/>
    <row r="60" spans="2:6" ht="14" x14ac:dyDescent="0.15"/>
    <row r="61" spans="2:6" ht="14" x14ac:dyDescent="0.15"/>
    <row r="62" spans="2:6" ht="14" x14ac:dyDescent="0.15"/>
    <row r="63" spans="2:6" ht="14" x14ac:dyDescent="0.15"/>
    <row r="64" spans="2:6" ht="14" x14ac:dyDescent="0.15"/>
    <row r="65" ht="14" x14ac:dyDescent="0.15"/>
    <row r="66" ht="14" x14ac:dyDescent="0.15"/>
    <row r="67" ht="14" x14ac:dyDescent="0.15"/>
    <row r="68" ht="14" x14ac:dyDescent="0.15"/>
    <row r="69" ht="14" x14ac:dyDescent="0.15"/>
    <row r="70" ht="14" x14ac:dyDescent="0.15"/>
    <row r="71" ht="14" x14ac:dyDescent="0.15"/>
    <row r="72" ht="14" x14ac:dyDescent="0.15"/>
    <row r="73" ht="14" x14ac:dyDescent="0.15"/>
    <row r="74" ht="14" x14ac:dyDescent="0.15"/>
    <row r="75" ht="14" x14ac:dyDescent="0.15"/>
    <row r="76" ht="14" x14ac:dyDescent="0.15"/>
    <row r="77" ht="14" x14ac:dyDescent="0.15"/>
    <row r="78" ht="14" x14ac:dyDescent="0.15"/>
    <row r="79" ht="14" x14ac:dyDescent="0.15"/>
    <row r="80" ht="14" x14ac:dyDescent="0.15"/>
    <row r="81" ht="14" x14ac:dyDescent="0.15"/>
    <row r="82" ht="14" x14ac:dyDescent="0.15"/>
    <row r="83" ht="14" x14ac:dyDescent="0.15"/>
    <row r="84" ht="14" x14ac:dyDescent="0.15"/>
    <row r="85" ht="14" x14ac:dyDescent="0.15"/>
    <row r="86" ht="14" x14ac:dyDescent="0.15"/>
    <row r="87" ht="14" x14ac:dyDescent="0.15"/>
    <row r="88" ht="14" x14ac:dyDescent="0.15"/>
    <row r="89" ht="14" x14ac:dyDescent="0.15"/>
    <row r="90" ht="14" x14ac:dyDescent="0.15"/>
    <row r="91" ht="14" x14ac:dyDescent="0.15"/>
    <row r="92" ht="14" x14ac:dyDescent="0.15"/>
    <row r="93" ht="14" x14ac:dyDescent="0.15"/>
    <row r="94" ht="14" x14ac:dyDescent="0.15"/>
    <row r="95" ht="14" x14ac:dyDescent="0.15"/>
    <row r="96" ht="14" x14ac:dyDescent="0.15"/>
    <row r="97" ht="14" x14ac:dyDescent="0.15"/>
    <row r="98" ht="14" x14ac:dyDescent="0.15"/>
    <row r="99" ht="14" x14ac:dyDescent="0.15"/>
    <row r="100" ht="14" x14ac:dyDescent="0.15"/>
    <row r="101" ht="14" x14ac:dyDescent="0.15"/>
    <row r="102" ht="14" x14ac:dyDescent="0.15"/>
    <row r="103" ht="14" x14ac:dyDescent="0.15"/>
    <row r="104" ht="14" x14ac:dyDescent="0.15"/>
    <row r="105" ht="14" x14ac:dyDescent="0.15"/>
    <row r="106" ht="14" x14ac:dyDescent="0.15"/>
    <row r="107" ht="14" x14ac:dyDescent="0.15"/>
    <row r="108" ht="14" x14ac:dyDescent="0.15"/>
    <row r="109" ht="14" x14ac:dyDescent="0.15"/>
    <row r="110" ht="14" x14ac:dyDescent="0.15"/>
    <row r="111" ht="14" x14ac:dyDescent="0.15"/>
    <row r="112" ht="14" x14ac:dyDescent="0.15"/>
    <row r="113" ht="14" x14ac:dyDescent="0.15"/>
    <row r="114" ht="14" x14ac:dyDescent="0.15"/>
    <row r="115" ht="14" x14ac:dyDescent="0.15"/>
    <row r="116" ht="14" x14ac:dyDescent="0.15"/>
    <row r="117" ht="14" x14ac:dyDescent="0.15"/>
    <row r="118" ht="14" x14ac:dyDescent="0.15"/>
    <row r="119" ht="14" x14ac:dyDescent="0.15"/>
    <row r="120" ht="14" x14ac:dyDescent="0.15"/>
    <row r="121" ht="14" x14ac:dyDescent="0.15"/>
    <row r="122" ht="14" x14ac:dyDescent="0.15"/>
    <row r="123" ht="14" x14ac:dyDescent="0.15"/>
    <row r="124" ht="14" x14ac:dyDescent="0.15"/>
    <row r="125" ht="14" x14ac:dyDescent="0.15"/>
    <row r="126" ht="14" x14ac:dyDescent="0.15"/>
    <row r="127" ht="14" x14ac:dyDescent="0.15"/>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3">
    <cfRule type="dataBar" priority="23">
      <dataBar>
        <cfvo type="num" val="0"/>
        <cfvo type="num" val="1"/>
        <color theme="0"/>
      </dataBar>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showError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00000000-0002-0000-0000-000001000000}"/>
    <dataValidation allowBlank="1" showInputMessage="1" showErrorMessage="1" prompt="Enter Company name in cel B2." sqref="A2" xr:uid="{00000000-0002-0000-0000-000002000000}"/>
    <dataValidation allowBlank="1" showInputMessage="1" showErrorMessage="1" prompt="Enter the name of the Project Lead in cell C3. Enter the Project Start date in cell Q1. Project Start: label is in cell I1." sqref="A3" xr:uid="{00000000-0002-0000-0000-00000300000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00000000-0002-0000-0000-000004000000}"/>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00000000-0002-0000-0000-000005000000}"/>
    <dataValidation allowBlank="1" showInputMessage="1" showErrorMessage="1" prompt="Cell B8 contains the Phase 1 sample title. Enter a new title in cell B8._x000a_To delete the phase and work only from tasks, simply delete this row." sqref="A8" xr:uid="{00000000-0002-0000-0000-0000060000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00000000-0002-0000-0000-000007000000}"/>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00000000-0002-0000-0000-000008000000}"/>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00000000-0002-0000-0000-000009000000}"/>
    <dataValidation allowBlank="1" showInputMessage="1" showErrorMessage="1" prompt="Phase 3's sample block starts in cell B20." sqref="A20" xr:uid="{00000000-0002-0000-0000-00000A000000}"/>
    <dataValidation allowBlank="1" showInputMessage="1" showErrorMessage="1" prompt="Phase 4's sample block starts in cell B26." sqref="A26" xr:uid="{00000000-0002-0000-0000-00000B000000}"/>
    <dataValidation allowBlank="1" showInputMessage="1" showErrorMessage="1" prompt="This row marks the end of the Project Schedule. DO NOT enter anything in this row. _x000a_Insert new rows ABOVE this one to continue building out your Project Schedule." sqref="A33" xr:uid="{00000000-0002-0000-0000-00000C000000}"/>
  </dataValidations>
  <printOptions horizontalCentered="1"/>
  <pageMargins left="0.35" right="0.35" top="0.35" bottom="0.5" header="0.3" footer="0.3"/>
  <pageSetup scale="57" fitToHeight="0" orientation="landscape"/>
  <headerFooter differentFirst="1" scaleWithDoc="0">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A1461-DC6C-A342-8C18-B10FD2C2A23A}">
  <dimension ref="A1:N41"/>
  <sheetViews>
    <sheetView zoomScale="150" workbookViewId="0">
      <selection activeCell="O20" sqref="O20"/>
    </sheetView>
  </sheetViews>
  <sheetFormatPr baseColWidth="10" defaultRowHeight="14" x14ac:dyDescent="0.15"/>
  <cols>
    <col min="1" max="1" width="3.1640625" bestFit="1" customWidth="1"/>
    <col min="2" max="2" width="19.83203125" bestFit="1" customWidth="1"/>
    <col min="3" max="3" width="29.33203125" bestFit="1" customWidth="1"/>
    <col min="4" max="4" width="57.1640625" bestFit="1" customWidth="1"/>
    <col min="5" max="5" width="11.1640625" bestFit="1" customWidth="1"/>
    <col min="6" max="6" width="17.1640625" bestFit="1" customWidth="1"/>
    <col min="7" max="8" width="10.1640625" bestFit="1" customWidth="1"/>
    <col min="9" max="9" width="14" bestFit="1" customWidth="1"/>
    <col min="10" max="10" width="6.33203125" bestFit="1" customWidth="1"/>
    <col min="11" max="11" width="10" bestFit="1" customWidth="1"/>
    <col min="12" max="12" width="10.5" bestFit="1" customWidth="1"/>
    <col min="13" max="13" width="9.1640625" bestFit="1" customWidth="1"/>
    <col min="14" max="14" width="5.6640625" bestFit="1" customWidth="1"/>
  </cols>
  <sheetData>
    <row r="1" spans="1:14" ht="15" x14ac:dyDescent="0.15">
      <c r="A1" s="108" t="s">
        <v>73</v>
      </c>
      <c r="B1" s="109" t="s">
        <v>74</v>
      </c>
      <c r="C1" s="109" t="s">
        <v>75</v>
      </c>
      <c r="D1" s="109" t="s">
        <v>76</v>
      </c>
      <c r="E1" s="109" t="s">
        <v>77</v>
      </c>
      <c r="F1" s="109" t="s">
        <v>78</v>
      </c>
      <c r="G1" s="109" t="s">
        <v>79</v>
      </c>
      <c r="H1" s="109" t="s">
        <v>80</v>
      </c>
      <c r="I1" s="109" t="s">
        <v>81</v>
      </c>
      <c r="J1" s="109" t="s">
        <v>82</v>
      </c>
      <c r="K1" s="109" t="s">
        <v>83</v>
      </c>
      <c r="L1" s="109" t="s">
        <v>84</v>
      </c>
      <c r="M1" s="109" t="s">
        <v>85</v>
      </c>
      <c r="N1" s="109" t="s">
        <v>86</v>
      </c>
    </row>
    <row r="2" spans="1:14" ht="15" x14ac:dyDescent="0.2">
      <c r="A2" s="110">
        <v>1</v>
      </c>
      <c r="B2" s="110" t="s">
        <v>8</v>
      </c>
      <c r="C2" s="110" t="s">
        <v>87</v>
      </c>
      <c r="D2" s="110" t="s">
        <v>88</v>
      </c>
      <c r="E2" s="110" t="s">
        <v>89</v>
      </c>
      <c r="F2" s="110">
        <v>1</v>
      </c>
      <c r="G2" s="111">
        <v>45841</v>
      </c>
      <c r="H2" s="111">
        <v>45841</v>
      </c>
      <c r="I2" s="110"/>
      <c r="J2" s="110"/>
      <c r="K2" s="110" t="s">
        <v>90</v>
      </c>
      <c r="L2" s="112">
        <v>0</v>
      </c>
      <c r="M2" s="110" t="s">
        <v>91</v>
      </c>
      <c r="N2" s="110"/>
    </row>
    <row r="3" spans="1:14" ht="15" x14ac:dyDescent="0.2">
      <c r="A3" s="110">
        <v>2</v>
      </c>
      <c r="B3" s="110" t="s">
        <v>8</v>
      </c>
      <c r="C3" s="110" t="s">
        <v>87</v>
      </c>
      <c r="D3" s="110" t="s">
        <v>92</v>
      </c>
      <c r="E3" s="110" t="s">
        <v>89</v>
      </c>
      <c r="F3" s="110">
        <v>1</v>
      </c>
      <c r="G3" s="111">
        <v>45842</v>
      </c>
      <c r="H3" s="111">
        <v>45842</v>
      </c>
      <c r="I3" s="110">
        <v>1</v>
      </c>
      <c r="J3" s="110"/>
      <c r="K3" s="110" t="s">
        <v>90</v>
      </c>
      <c r="L3" s="112">
        <v>0</v>
      </c>
      <c r="M3" s="110" t="s">
        <v>91</v>
      </c>
      <c r="N3" s="110"/>
    </row>
    <row r="4" spans="1:14" ht="15" x14ac:dyDescent="0.2">
      <c r="A4" s="110">
        <v>3</v>
      </c>
      <c r="B4" s="110" t="s">
        <v>8</v>
      </c>
      <c r="C4" s="110" t="s">
        <v>87</v>
      </c>
      <c r="D4" s="110" t="s">
        <v>93</v>
      </c>
      <c r="E4" s="110" t="s">
        <v>23</v>
      </c>
      <c r="F4" s="110">
        <v>2</v>
      </c>
      <c r="G4" s="111">
        <v>45845</v>
      </c>
      <c r="H4" s="111">
        <v>45846</v>
      </c>
      <c r="I4" s="110">
        <v>2</v>
      </c>
      <c r="J4" s="110"/>
      <c r="K4" s="110" t="s">
        <v>90</v>
      </c>
      <c r="L4" s="112">
        <v>0</v>
      </c>
      <c r="M4" s="110" t="s">
        <v>91</v>
      </c>
      <c r="N4" s="110"/>
    </row>
    <row r="5" spans="1:14" ht="15" x14ac:dyDescent="0.2">
      <c r="A5" s="110">
        <v>4</v>
      </c>
      <c r="B5" s="110" t="s">
        <v>8</v>
      </c>
      <c r="C5" s="110" t="s">
        <v>94</v>
      </c>
      <c r="D5" s="110" t="s">
        <v>95</v>
      </c>
      <c r="E5" s="110" t="s">
        <v>23</v>
      </c>
      <c r="F5" s="110">
        <v>1</v>
      </c>
      <c r="G5" s="111">
        <v>45847</v>
      </c>
      <c r="H5" s="111">
        <v>45847</v>
      </c>
      <c r="I5" s="110">
        <v>3</v>
      </c>
      <c r="J5" s="110"/>
      <c r="K5" s="110" t="s">
        <v>90</v>
      </c>
      <c r="L5" s="112">
        <v>0</v>
      </c>
      <c r="M5" s="110" t="s">
        <v>91</v>
      </c>
      <c r="N5" s="110"/>
    </row>
    <row r="6" spans="1:14" ht="15" x14ac:dyDescent="0.2">
      <c r="A6" s="110">
        <v>5</v>
      </c>
      <c r="B6" s="110" t="s">
        <v>8</v>
      </c>
      <c r="C6" s="110" t="s">
        <v>94</v>
      </c>
      <c r="D6" s="110" t="s">
        <v>96</v>
      </c>
      <c r="E6" s="110" t="s">
        <v>23</v>
      </c>
      <c r="F6" s="110">
        <v>2</v>
      </c>
      <c r="G6" s="111">
        <v>45848</v>
      </c>
      <c r="H6" s="111">
        <v>45849</v>
      </c>
      <c r="I6" s="110">
        <v>4</v>
      </c>
      <c r="J6" s="110"/>
      <c r="K6" s="110" t="s">
        <v>90</v>
      </c>
      <c r="L6" s="112">
        <v>0</v>
      </c>
      <c r="M6" s="110" t="s">
        <v>91</v>
      </c>
      <c r="N6" s="110"/>
    </row>
    <row r="7" spans="1:14" ht="15" x14ac:dyDescent="0.2">
      <c r="A7" s="110">
        <v>6</v>
      </c>
      <c r="B7" s="110" t="s">
        <v>8</v>
      </c>
      <c r="C7" s="110" t="s">
        <v>97</v>
      </c>
      <c r="D7" s="110" t="s">
        <v>98</v>
      </c>
      <c r="E7" s="110" t="s">
        <v>23</v>
      </c>
      <c r="F7" s="110">
        <v>1</v>
      </c>
      <c r="G7" s="111">
        <v>45852</v>
      </c>
      <c r="H7" s="111">
        <v>45852</v>
      </c>
      <c r="I7" s="110">
        <v>5</v>
      </c>
      <c r="J7" s="110"/>
      <c r="K7" s="110" t="s">
        <v>90</v>
      </c>
      <c r="L7" s="112">
        <v>0</v>
      </c>
      <c r="M7" s="110" t="s">
        <v>91</v>
      </c>
      <c r="N7" s="110"/>
    </row>
    <row r="8" spans="1:14" ht="15" x14ac:dyDescent="0.2">
      <c r="A8" s="110">
        <v>7</v>
      </c>
      <c r="B8" s="110" t="s">
        <v>8</v>
      </c>
      <c r="C8" s="110" t="s">
        <v>97</v>
      </c>
      <c r="D8" s="110" t="s">
        <v>99</v>
      </c>
      <c r="E8" s="110" t="s">
        <v>23</v>
      </c>
      <c r="F8" s="110">
        <v>1</v>
      </c>
      <c r="G8" s="111">
        <v>45853</v>
      </c>
      <c r="H8" s="111">
        <v>45853</v>
      </c>
      <c r="I8" s="110">
        <v>6</v>
      </c>
      <c r="J8" s="110"/>
      <c r="K8" s="110" t="s">
        <v>90</v>
      </c>
      <c r="L8" s="112">
        <v>0</v>
      </c>
      <c r="M8" s="110" t="s">
        <v>91</v>
      </c>
      <c r="N8" s="110"/>
    </row>
    <row r="9" spans="1:14" ht="15" x14ac:dyDescent="0.2">
      <c r="A9" s="110">
        <v>8</v>
      </c>
      <c r="B9" s="110" t="s">
        <v>8</v>
      </c>
      <c r="C9" s="110" t="s">
        <v>97</v>
      </c>
      <c r="D9" s="110" t="s">
        <v>100</v>
      </c>
      <c r="E9" s="110" t="s">
        <v>23</v>
      </c>
      <c r="F9" s="110">
        <v>1</v>
      </c>
      <c r="G9" s="111">
        <v>45854</v>
      </c>
      <c r="H9" s="111">
        <v>45854</v>
      </c>
      <c r="I9" s="110">
        <v>7</v>
      </c>
      <c r="J9" s="110"/>
      <c r="K9" s="110" t="s">
        <v>90</v>
      </c>
      <c r="L9" s="112">
        <v>0</v>
      </c>
      <c r="M9" s="110" t="s">
        <v>91</v>
      </c>
      <c r="N9" s="110"/>
    </row>
    <row r="10" spans="1:14" ht="15" x14ac:dyDescent="0.2">
      <c r="A10" s="110">
        <v>9</v>
      </c>
      <c r="B10" s="110" t="s">
        <v>8</v>
      </c>
      <c r="C10" s="110" t="s">
        <v>97</v>
      </c>
      <c r="D10" s="110" t="s">
        <v>101</v>
      </c>
      <c r="E10" s="110" t="s">
        <v>23</v>
      </c>
      <c r="F10" s="110">
        <v>5</v>
      </c>
      <c r="G10" s="111">
        <v>45855</v>
      </c>
      <c r="H10" s="111">
        <v>45861</v>
      </c>
      <c r="I10" s="110">
        <v>8</v>
      </c>
      <c r="J10" s="110"/>
      <c r="K10" s="110" t="s">
        <v>90</v>
      </c>
      <c r="L10" s="112">
        <v>0</v>
      </c>
      <c r="M10" s="110" t="s">
        <v>91</v>
      </c>
      <c r="N10" s="110"/>
    </row>
    <row r="11" spans="1:14" ht="15" x14ac:dyDescent="0.2">
      <c r="A11" s="110">
        <v>10</v>
      </c>
      <c r="B11" s="110" t="s">
        <v>8</v>
      </c>
      <c r="C11" s="110" t="s">
        <v>102</v>
      </c>
      <c r="D11" s="110" t="s">
        <v>103</v>
      </c>
      <c r="E11" s="110" t="s">
        <v>23</v>
      </c>
      <c r="F11" s="110">
        <v>3</v>
      </c>
      <c r="G11" s="111">
        <v>45862</v>
      </c>
      <c r="H11" s="111">
        <v>45866</v>
      </c>
      <c r="I11" s="110">
        <v>9</v>
      </c>
      <c r="J11" s="110"/>
      <c r="K11" s="110" t="s">
        <v>90</v>
      </c>
      <c r="L11" s="112">
        <v>0</v>
      </c>
      <c r="M11" s="110" t="s">
        <v>91</v>
      </c>
      <c r="N11" s="110"/>
    </row>
    <row r="12" spans="1:14" ht="15" x14ac:dyDescent="0.2">
      <c r="A12" s="110">
        <v>11</v>
      </c>
      <c r="B12" s="110" t="s">
        <v>8</v>
      </c>
      <c r="C12" s="110" t="s">
        <v>102</v>
      </c>
      <c r="D12" s="110" t="s">
        <v>104</v>
      </c>
      <c r="E12" s="110" t="s">
        <v>23</v>
      </c>
      <c r="F12" s="110">
        <v>2</v>
      </c>
      <c r="G12" s="111">
        <v>45867</v>
      </c>
      <c r="H12" s="111">
        <v>45868</v>
      </c>
      <c r="I12" s="110">
        <v>10</v>
      </c>
      <c r="J12" s="110"/>
      <c r="K12" s="110" t="s">
        <v>90</v>
      </c>
      <c r="L12" s="112">
        <v>0</v>
      </c>
      <c r="M12" s="110" t="s">
        <v>91</v>
      </c>
      <c r="N12" s="110"/>
    </row>
    <row r="13" spans="1:14" ht="15" x14ac:dyDescent="0.2">
      <c r="A13" s="110">
        <v>12</v>
      </c>
      <c r="B13" s="110" t="s">
        <v>8</v>
      </c>
      <c r="C13" s="110" t="s">
        <v>102</v>
      </c>
      <c r="D13" s="110" t="s">
        <v>105</v>
      </c>
      <c r="E13" s="110" t="s">
        <v>23</v>
      </c>
      <c r="F13" s="110">
        <v>2</v>
      </c>
      <c r="G13" s="111">
        <v>45869</v>
      </c>
      <c r="H13" s="111">
        <v>45870</v>
      </c>
      <c r="I13" s="110">
        <v>11</v>
      </c>
      <c r="J13" s="110"/>
      <c r="K13" s="110" t="s">
        <v>90</v>
      </c>
      <c r="L13" s="112">
        <v>0</v>
      </c>
      <c r="M13" s="110" t="s">
        <v>91</v>
      </c>
      <c r="N13" s="110"/>
    </row>
    <row r="14" spans="1:14" ht="15" x14ac:dyDescent="0.2">
      <c r="A14" s="110">
        <v>13</v>
      </c>
      <c r="B14" s="110" t="s">
        <v>8</v>
      </c>
      <c r="C14" s="110" t="s">
        <v>102</v>
      </c>
      <c r="D14" s="110" t="s">
        <v>106</v>
      </c>
      <c r="E14" s="110" t="s">
        <v>23</v>
      </c>
      <c r="F14" s="110">
        <v>1</v>
      </c>
      <c r="G14" s="111">
        <v>45873</v>
      </c>
      <c r="H14" s="111">
        <v>45873</v>
      </c>
      <c r="I14" s="110">
        <v>12</v>
      </c>
      <c r="J14" s="110"/>
      <c r="K14" s="110" t="s">
        <v>90</v>
      </c>
      <c r="L14" s="112">
        <v>0</v>
      </c>
      <c r="M14" s="110" t="s">
        <v>91</v>
      </c>
      <c r="N14" s="110"/>
    </row>
    <row r="15" spans="1:14" ht="15" x14ac:dyDescent="0.2">
      <c r="A15" s="110">
        <v>14</v>
      </c>
      <c r="B15" s="110" t="s">
        <v>8</v>
      </c>
      <c r="C15" s="110" t="s">
        <v>102</v>
      </c>
      <c r="D15" s="110" t="s">
        <v>107</v>
      </c>
      <c r="E15" s="110" t="s">
        <v>29</v>
      </c>
      <c r="F15" s="110">
        <v>2</v>
      </c>
      <c r="G15" s="111">
        <v>45874</v>
      </c>
      <c r="H15" s="111">
        <v>45875</v>
      </c>
      <c r="I15" s="110">
        <v>13</v>
      </c>
      <c r="J15" s="110"/>
      <c r="K15" s="110" t="s">
        <v>90</v>
      </c>
      <c r="L15" s="112">
        <v>0</v>
      </c>
      <c r="M15" s="110" t="s">
        <v>91</v>
      </c>
      <c r="N15" s="110"/>
    </row>
    <row r="16" spans="1:14" ht="15" x14ac:dyDescent="0.2">
      <c r="A16" s="110">
        <v>15</v>
      </c>
      <c r="B16" s="110" t="s">
        <v>108</v>
      </c>
      <c r="C16" s="110" t="s">
        <v>87</v>
      </c>
      <c r="D16" s="110" t="s">
        <v>109</v>
      </c>
      <c r="E16" s="110" t="s">
        <v>23</v>
      </c>
      <c r="F16" s="110">
        <v>1</v>
      </c>
      <c r="G16" s="111">
        <v>45876</v>
      </c>
      <c r="H16" s="111">
        <v>45876</v>
      </c>
      <c r="I16" s="110">
        <v>14</v>
      </c>
      <c r="J16" s="110"/>
      <c r="K16" s="110" t="s">
        <v>90</v>
      </c>
      <c r="L16" s="112">
        <v>0</v>
      </c>
      <c r="M16" s="110" t="s">
        <v>91</v>
      </c>
      <c r="N16" s="110"/>
    </row>
    <row r="17" spans="1:14" ht="15" x14ac:dyDescent="0.2">
      <c r="A17" s="110">
        <v>16</v>
      </c>
      <c r="B17" s="110" t="s">
        <v>108</v>
      </c>
      <c r="C17" s="110" t="s">
        <v>87</v>
      </c>
      <c r="D17" s="110" t="s">
        <v>110</v>
      </c>
      <c r="E17" s="110" t="s">
        <v>23</v>
      </c>
      <c r="F17" s="110">
        <v>2</v>
      </c>
      <c r="G17" s="111">
        <v>45877</v>
      </c>
      <c r="H17" s="111">
        <v>45880</v>
      </c>
      <c r="I17" s="110">
        <v>15</v>
      </c>
      <c r="J17" s="110"/>
      <c r="K17" s="110" t="s">
        <v>90</v>
      </c>
      <c r="L17" s="112">
        <v>0</v>
      </c>
      <c r="M17" s="110" t="s">
        <v>91</v>
      </c>
      <c r="N17" s="110"/>
    </row>
    <row r="18" spans="1:14" ht="15" x14ac:dyDescent="0.2">
      <c r="A18" s="110">
        <v>17</v>
      </c>
      <c r="B18" s="110" t="s">
        <v>108</v>
      </c>
      <c r="C18" s="110" t="s">
        <v>87</v>
      </c>
      <c r="D18" s="110" t="s">
        <v>111</v>
      </c>
      <c r="E18" s="110" t="s">
        <v>23</v>
      </c>
      <c r="F18" s="110">
        <v>2</v>
      </c>
      <c r="G18" s="111">
        <v>45881</v>
      </c>
      <c r="H18" s="111">
        <v>45882</v>
      </c>
      <c r="I18" s="110">
        <v>16</v>
      </c>
      <c r="J18" s="110"/>
      <c r="K18" s="110" t="s">
        <v>90</v>
      </c>
      <c r="L18" s="112">
        <v>0</v>
      </c>
      <c r="M18" s="110" t="s">
        <v>91</v>
      </c>
      <c r="N18" s="110"/>
    </row>
    <row r="19" spans="1:14" ht="15" x14ac:dyDescent="0.2">
      <c r="A19" s="110">
        <v>18</v>
      </c>
      <c r="B19" s="110" t="s">
        <v>108</v>
      </c>
      <c r="C19" s="110" t="s">
        <v>112</v>
      </c>
      <c r="D19" s="110" t="s">
        <v>113</v>
      </c>
      <c r="E19" s="110" t="s">
        <v>23</v>
      </c>
      <c r="F19" s="110">
        <v>3</v>
      </c>
      <c r="G19" s="111">
        <v>45883</v>
      </c>
      <c r="H19" s="111">
        <v>45887</v>
      </c>
      <c r="I19" s="110">
        <v>17</v>
      </c>
      <c r="J19" s="110"/>
      <c r="K19" s="110" t="s">
        <v>90</v>
      </c>
      <c r="L19" s="112">
        <v>0</v>
      </c>
      <c r="M19" s="110" t="s">
        <v>91</v>
      </c>
      <c r="N19" s="110"/>
    </row>
    <row r="20" spans="1:14" ht="15" x14ac:dyDescent="0.2">
      <c r="A20" s="110">
        <v>19</v>
      </c>
      <c r="B20" s="110" t="s">
        <v>108</v>
      </c>
      <c r="C20" s="110" t="s">
        <v>114</v>
      </c>
      <c r="D20" s="110" t="s">
        <v>115</v>
      </c>
      <c r="E20" s="110" t="s">
        <v>23</v>
      </c>
      <c r="F20" s="110">
        <v>2</v>
      </c>
      <c r="G20" s="111">
        <v>45888</v>
      </c>
      <c r="H20" s="111">
        <v>45889</v>
      </c>
      <c r="I20" s="110">
        <v>18</v>
      </c>
      <c r="J20" s="110"/>
      <c r="K20" s="110" t="s">
        <v>90</v>
      </c>
      <c r="L20" s="112">
        <v>0</v>
      </c>
      <c r="M20" s="110" t="s">
        <v>91</v>
      </c>
      <c r="N20" s="110"/>
    </row>
    <row r="21" spans="1:14" ht="15" x14ac:dyDescent="0.2">
      <c r="A21" s="110">
        <v>20</v>
      </c>
      <c r="B21" s="110" t="s">
        <v>108</v>
      </c>
      <c r="C21" s="110" t="s">
        <v>114</v>
      </c>
      <c r="D21" s="110" t="s">
        <v>116</v>
      </c>
      <c r="E21" s="110" t="s">
        <v>23</v>
      </c>
      <c r="F21" s="110">
        <v>1</v>
      </c>
      <c r="G21" s="111">
        <v>45890</v>
      </c>
      <c r="H21" s="111">
        <v>45890</v>
      </c>
      <c r="I21" s="110">
        <v>19</v>
      </c>
      <c r="J21" s="110"/>
      <c r="K21" s="110" t="s">
        <v>90</v>
      </c>
      <c r="L21" s="112">
        <v>0</v>
      </c>
      <c r="M21" s="110" t="s">
        <v>91</v>
      </c>
      <c r="N21" s="110"/>
    </row>
    <row r="22" spans="1:14" ht="15" x14ac:dyDescent="0.2">
      <c r="A22" s="110">
        <v>21</v>
      </c>
      <c r="B22" s="110" t="s">
        <v>108</v>
      </c>
      <c r="C22" s="110" t="s">
        <v>114</v>
      </c>
      <c r="D22" s="110" t="s">
        <v>117</v>
      </c>
      <c r="E22" s="110" t="s">
        <v>23</v>
      </c>
      <c r="F22" s="110">
        <v>2</v>
      </c>
      <c r="G22" s="111">
        <v>45891</v>
      </c>
      <c r="H22" s="111">
        <v>45894</v>
      </c>
      <c r="I22" s="110">
        <v>20</v>
      </c>
      <c r="J22" s="110"/>
      <c r="K22" s="110" t="s">
        <v>90</v>
      </c>
      <c r="L22" s="112">
        <v>0</v>
      </c>
      <c r="M22" s="110" t="s">
        <v>91</v>
      </c>
      <c r="N22" s="110"/>
    </row>
    <row r="23" spans="1:14" ht="15" x14ac:dyDescent="0.2">
      <c r="A23" s="110">
        <v>22</v>
      </c>
      <c r="B23" s="110" t="s">
        <v>108</v>
      </c>
      <c r="C23" s="110" t="s">
        <v>114</v>
      </c>
      <c r="D23" s="110" t="s">
        <v>118</v>
      </c>
      <c r="E23" s="110" t="s">
        <v>23</v>
      </c>
      <c r="F23" s="110">
        <v>1</v>
      </c>
      <c r="G23" s="111">
        <v>45895</v>
      </c>
      <c r="H23" s="111">
        <v>45895</v>
      </c>
      <c r="I23" s="110">
        <v>21</v>
      </c>
      <c r="J23" s="110"/>
      <c r="K23" s="110" t="s">
        <v>90</v>
      </c>
      <c r="L23" s="112">
        <v>0</v>
      </c>
      <c r="M23" s="110" t="s">
        <v>91</v>
      </c>
      <c r="N23" s="110"/>
    </row>
    <row r="24" spans="1:14" ht="15" x14ac:dyDescent="0.2">
      <c r="A24" s="110">
        <v>23</v>
      </c>
      <c r="B24" s="110" t="s">
        <v>108</v>
      </c>
      <c r="C24" s="110" t="s">
        <v>119</v>
      </c>
      <c r="D24" s="110" t="s">
        <v>120</v>
      </c>
      <c r="E24" s="110" t="s">
        <v>23</v>
      </c>
      <c r="F24" s="110">
        <v>1</v>
      </c>
      <c r="G24" s="111">
        <v>45896</v>
      </c>
      <c r="H24" s="111">
        <v>45896</v>
      </c>
      <c r="I24" s="110">
        <v>22</v>
      </c>
      <c r="J24" s="110"/>
      <c r="K24" s="110" t="s">
        <v>90</v>
      </c>
      <c r="L24" s="112">
        <v>0</v>
      </c>
      <c r="M24" s="110" t="s">
        <v>91</v>
      </c>
      <c r="N24" s="110"/>
    </row>
    <row r="25" spans="1:14" ht="15" x14ac:dyDescent="0.2">
      <c r="A25" s="110">
        <v>24</v>
      </c>
      <c r="B25" s="110" t="s">
        <v>108</v>
      </c>
      <c r="C25" s="110" t="s">
        <v>119</v>
      </c>
      <c r="D25" s="110" t="s">
        <v>121</v>
      </c>
      <c r="E25" s="110" t="s">
        <v>23</v>
      </c>
      <c r="F25" s="110">
        <v>2</v>
      </c>
      <c r="G25" s="111">
        <v>45897</v>
      </c>
      <c r="H25" s="111">
        <v>45898</v>
      </c>
      <c r="I25" s="110">
        <v>23</v>
      </c>
      <c r="J25" s="110"/>
      <c r="K25" s="110" t="s">
        <v>90</v>
      </c>
      <c r="L25" s="112">
        <v>0</v>
      </c>
      <c r="M25" s="110" t="s">
        <v>91</v>
      </c>
      <c r="N25" s="110"/>
    </row>
    <row r="26" spans="1:14" ht="15" x14ac:dyDescent="0.2">
      <c r="A26" s="110">
        <v>25</v>
      </c>
      <c r="B26" s="110" t="s">
        <v>108</v>
      </c>
      <c r="C26" s="110" t="s">
        <v>119</v>
      </c>
      <c r="D26" s="110" t="s">
        <v>122</v>
      </c>
      <c r="E26" s="110" t="s">
        <v>23</v>
      </c>
      <c r="F26" s="110">
        <v>2</v>
      </c>
      <c r="G26" s="111">
        <v>45901</v>
      </c>
      <c r="H26" s="111">
        <v>45902</v>
      </c>
      <c r="I26" s="110">
        <v>24</v>
      </c>
      <c r="J26" s="110"/>
      <c r="K26" s="110" t="s">
        <v>90</v>
      </c>
      <c r="L26" s="112">
        <v>0</v>
      </c>
      <c r="M26" s="110" t="s">
        <v>91</v>
      </c>
      <c r="N26" s="110"/>
    </row>
    <row r="27" spans="1:14" ht="15" x14ac:dyDescent="0.2">
      <c r="A27" s="110">
        <v>26</v>
      </c>
      <c r="B27" s="110" t="s">
        <v>108</v>
      </c>
      <c r="C27" s="110" t="s">
        <v>119</v>
      </c>
      <c r="D27" s="110" t="s">
        <v>123</v>
      </c>
      <c r="E27" s="110" t="s">
        <v>23</v>
      </c>
      <c r="F27" s="110">
        <v>2</v>
      </c>
      <c r="G27" s="111">
        <v>45903</v>
      </c>
      <c r="H27" s="111">
        <v>45904</v>
      </c>
      <c r="I27" s="110">
        <v>25</v>
      </c>
      <c r="J27" s="110"/>
      <c r="K27" s="110" t="s">
        <v>90</v>
      </c>
      <c r="L27" s="112">
        <v>0</v>
      </c>
      <c r="M27" s="110" t="s">
        <v>91</v>
      </c>
      <c r="N27" s="110"/>
    </row>
    <row r="28" spans="1:14" ht="15" x14ac:dyDescent="0.2">
      <c r="A28" s="110">
        <v>27</v>
      </c>
      <c r="B28" s="110" t="s">
        <v>108</v>
      </c>
      <c r="C28" s="110" t="s">
        <v>119</v>
      </c>
      <c r="D28" s="110" t="s">
        <v>124</v>
      </c>
      <c r="E28" s="110" t="s">
        <v>23</v>
      </c>
      <c r="F28" s="110">
        <v>2</v>
      </c>
      <c r="G28" s="111">
        <v>45905</v>
      </c>
      <c r="H28" s="111">
        <v>45908</v>
      </c>
      <c r="I28" s="110">
        <v>26</v>
      </c>
      <c r="J28" s="110"/>
      <c r="K28" s="110" t="s">
        <v>90</v>
      </c>
      <c r="L28" s="112">
        <v>0</v>
      </c>
      <c r="M28" s="110" t="s">
        <v>91</v>
      </c>
      <c r="N28" s="110"/>
    </row>
    <row r="29" spans="1:14" ht="15" x14ac:dyDescent="0.2">
      <c r="A29" s="110">
        <v>28</v>
      </c>
      <c r="B29" s="110" t="s">
        <v>108</v>
      </c>
      <c r="C29" s="110" t="s">
        <v>125</v>
      </c>
      <c r="D29" s="110" t="s">
        <v>126</v>
      </c>
      <c r="E29" s="110" t="s">
        <v>127</v>
      </c>
      <c r="F29" s="110">
        <v>2</v>
      </c>
      <c r="G29" s="111">
        <v>45909</v>
      </c>
      <c r="H29" s="111">
        <v>45910</v>
      </c>
      <c r="I29" s="110">
        <v>27</v>
      </c>
      <c r="J29" s="110"/>
      <c r="K29" s="110" t="s">
        <v>90</v>
      </c>
      <c r="L29" s="112">
        <v>0</v>
      </c>
      <c r="M29" s="110" t="s">
        <v>91</v>
      </c>
      <c r="N29" s="110"/>
    </row>
    <row r="30" spans="1:14" ht="15" x14ac:dyDescent="0.2">
      <c r="A30" s="110">
        <v>29</v>
      </c>
      <c r="B30" s="110" t="s">
        <v>108</v>
      </c>
      <c r="C30" s="110" t="s">
        <v>125</v>
      </c>
      <c r="D30" s="110" t="s">
        <v>128</v>
      </c>
      <c r="E30" s="110" t="s">
        <v>127</v>
      </c>
      <c r="F30" s="110">
        <v>2</v>
      </c>
      <c r="G30" s="111">
        <v>45911</v>
      </c>
      <c r="H30" s="111">
        <v>45912</v>
      </c>
      <c r="I30" s="110">
        <v>28</v>
      </c>
      <c r="J30" s="110"/>
      <c r="K30" s="110" t="s">
        <v>90</v>
      </c>
      <c r="L30" s="112">
        <v>0</v>
      </c>
      <c r="M30" s="110" t="s">
        <v>91</v>
      </c>
      <c r="N30" s="110"/>
    </row>
    <row r="31" spans="1:14" ht="15" x14ac:dyDescent="0.2">
      <c r="A31" s="110">
        <v>30</v>
      </c>
      <c r="B31" s="110" t="s">
        <v>108</v>
      </c>
      <c r="C31" s="110" t="s">
        <v>129</v>
      </c>
      <c r="D31" s="110" t="s">
        <v>130</v>
      </c>
      <c r="E31" s="110" t="s">
        <v>54</v>
      </c>
      <c r="F31" s="110">
        <v>5</v>
      </c>
      <c r="G31" s="111">
        <v>45915</v>
      </c>
      <c r="H31" s="111">
        <v>45919</v>
      </c>
      <c r="I31" s="110">
        <v>29</v>
      </c>
      <c r="J31" s="110"/>
      <c r="K31" s="110" t="s">
        <v>90</v>
      </c>
      <c r="L31" s="112">
        <v>0</v>
      </c>
      <c r="M31" s="110" t="s">
        <v>91</v>
      </c>
      <c r="N31" s="110"/>
    </row>
    <row r="32" spans="1:14" ht="15" x14ac:dyDescent="0.2">
      <c r="A32" s="110">
        <v>31</v>
      </c>
      <c r="B32" s="110" t="s">
        <v>108</v>
      </c>
      <c r="C32" s="110" t="s">
        <v>131</v>
      </c>
      <c r="D32" s="110" t="s">
        <v>132</v>
      </c>
      <c r="E32" s="110" t="s">
        <v>89</v>
      </c>
      <c r="F32" s="110">
        <v>2</v>
      </c>
      <c r="G32" s="111">
        <v>45922</v>
      </c>
      <c r="H32" s="111">
        <v>45923</v>
      </c>
      <c r="I32" s="110">
        <v>30</v>
      </c>
      <c r="J32" s="110"/>
      <c r="K32" s="110" t="s">
        <v>90</v>
      </c>
      <c r="L32" s="112">
        <v>0</v>
      </c>
      <c r="M32" s="110" t="s">
        <v>91</v>
      </c>
      <c r="N32" s="110"/>
    </row>
    <row r="33" spans="1:14" ht="15" x14ac:dyDescent="0.2">
      <c r="A33" s="110">
        <v>32</v>
      </c>
      <c r="B33" s="110" t="s">
        <v>108</v>
      </c>
      <c r="C33" s="110" t="s">
        <v>131</v>
      </c>
      <c r="D33" s="110" t="s">
        <v>133</v>
      </c>
      <c r="E33" s="110" t="s">
        <v>89</v>
      </c>
      <c r="F33" s="110">
        <v>1</v>
      </c>
      <c r="G33" s="111">
        <v>45924</v>
      </c>
      <c r="H33" s="111">
        <v>45924</v>
      </c>
      <c r="I33" s="110">
        <v>31</v>
      </c>
      <c r="J33" s="110"/>
      <c r="K33" s="110" t="s">
        <v>90</v>
      </c>
      <c r="L33" s="112">
        <v>0</v>
      </c>
      <c r="M33" s="110" t="s">
        <v>91</v>
      </c>
      <c r="N33" s="110"/>
    </row>
    <row r="34" spans="1:14" ht="15" x14ac:dyDescent="0.2">
      <c r="A34" s="110">
        <v>33</v>
      </c>
      <c r="B34" s="110" t="s">
        <v>108</v>
      </c>
      <c r="C34" s="110" t="s">
        <v>131</v>
      </c>
      <c r="D34" s="110" t="s">
        <v>134</v>
      </c>
      <c r="E34" s="110" t="s">
        <v>89</v>
      </c>
      <c r="F34" s="110">
        <v>2</v>
      </c>
      <c r="G34" s="111">
        <v>45925</v>
      </c>
      <c r="H34" s="111">
        <v>45926</v>
      </c>
      <c r="I34" s="110">
        <v>32</v>
      </c>
      <c r="J34" s="110"/>
      <c r="K34" s="110" t="s">
        <v>90</v>
      </c>
      <c r="L34" s="112">
        <v>0</v>
      </c>
      <c r="M34" s="110" t="s">
        <v>91</v>
      </c>
      <c r="N34" s="110"/>
    </row>
    <row r="35" spans="1:14" ht="15" x14ac:dyDescent="0.2">
      <c r="A35" s="110">
        <v>34</v>
      </c>
      <c r="B35" s="110" t="s">
        <v>108</v>
      </c>
      <c r="C35" s="110" t="s">
        <v>131</v>
      </c>
      <c r="D35" s="110" t="s">
        <v>135</v>
      </c>
      <c r="E35" s="110" t="s">
        <v>89</v>
      </c>
      <c r="F35" s="110">
        <v>2</v>
      </c>
      <c r="G35" s="111">
        <v>45929</v>
      </c>
      <c r="H35" s="111">
        <v>45930</v>
      </c>
      <c r="I35" s="110">
        <v>33</v>
      </c>
      <c r="J35" s="110"/>
      <c r="K35" s="110" t="s">
        <v>90</v>
      </c>
      <c r="L35" s="112">
        <v>0</v>
      </c>
      <c r="M35" s="110" t="s">
        <v>91</v>
      </c>
      <c r="N35" s="110"/>
    </row>
    <row r="36" spans="1:14" ht="15" x14ac:dyDescent="0.2">
      <c r="A36" s="110">
        <v>35</v>
      </c>
      <c r="B36" s="110" t="s">
        <v>108</v>
      </c>
      <c r="C36" s="110" t="s">
        <v>131</v>
      </c>
      <c r="D36" s="110" t="s">
        <v>136</v>
      </c>
      <c r="E36" s="110" t="s">
        <v>89</v>
      </c>
      <c r="F36" s="110">
        <v>2</v>
      </c>
      <c r="G36" s="111">
        <v>45931</v>
      </c>
      <c r="H36" s="111">
        <v>45932</v>
      </c>
      <c r="I36" s="110">
        <v>34</v>
      </c>
      <c r="J36" s="110"/>
      <c r="K36" s="110" t="s">
        <v>90</v>
      </c>
      <c r="L36" s="112">
        <v>0</v>
      </c>
      <c r="M36" s="110" t="s">
        <v>91</v>
      </c>
      <c r="N36" s="110"/>
    </row>
    <row r="37" spans="1:14" ht="15" x14ac:dyDescent="0.2">
      <c r="A37" s="110">
        <v>36</v>
      </c>
      <c r="B37" s="110" t="s">
        <v>108</v>
      </c>
      <c r="C37" s="110" t="s">
        <v>137</v>
      </c>
      <c r="D37" s="110" t="s">
        <v>64</v>
      </c>
      <c r="E37" s="110" t="s">
        <v>89</v>
      </c>
      <c r="F37" s="110">
        <v>3</v>
      </c>
      <c r="G37" s="111">
        <v>45933</v>
      </c>
      <c r="H37" s="111">
        <v>45937</v>
      </c>
      <c r="I37" s="110">
        <v>35</v>
      </c>
      <c r="J37" s="110"/>
      <c r="K37" s="110" t="s">
        <v>90</v>
      </c>
      <c r="L37" s="112">
        <v>0</v>
      </c>
      <c r="M37" s="110" t="s">
        <v>91</v>
      </c>
      <c r="N37" s="110"/>
    </row>
    <row r="38" spans="1:14" ht="15" x14ac:dyDescent="0.2">
      <c r="A38" s="110">
        <v>37</v>
      </c>
      <c r="B38" s="110" t="s">
        <v>108</v>
      </c>
      <c r="C38" s="110" t="s">
        <v>137</v>
      </c>
      <c r="D38" s="110" t="s">
        <v>138</v>
      </c>
      <c r="E38" s="110" t="s">
        <v>89</v>
      </c>
      <c r="F38" s="110">
        <v>3</v>
      </c>
      <c r="G38" s="111">
        <v>45938</v>
      </c>
      <c r="H38" s="111">
        <v>45940</v>
      </c>
      <c r="I38" s="110">
        <v>36</v>
      </c>
      <c r="J38" s="110"/>
      <c r="K38" s="110" t="s">
        <v>90</v>
      </c>
      <c r="L38" s="112">
        <v>0</v>
      </c>
      <c r="M38" s="110" t="s">
        <v>91</v>
      </c>
      <c r="N38" s="110"/>
    </row>
    <row r="39" spans="1:14" ht="15" x14ac:dyDescent="0.2">
      <c r="A39" s="110">
        <v>38</v>
      </c>
      <c r="B39" s="110" t="s">
        <v>108</v>
      </c>
      <c r="C39" s="110" t="s">
        <v>68</v>
      </c>
      <c r="D39" s="110" t="s">
        <v>139</v>
      </c>
      <c r="E39" s="110" t="s">
        <v>89</v>
      </c>
      <c r="F39" s="110">
        <v>1</v>
      </c>
      <c r="G39" s="111">
        <v>45943</v>
      </c>
      <c r="H39" s="111">
        <v>45943</v>
      </c>
      <c r="I39" s="110">
        <v>37</v>
      </c>
      <c r="J39" s="110"/>
      <c r="K39" s="110" t="s">
        <v>90</v>
      </c>
      <c r="L39" s="112">
        <v>0</v>
      </c>
      <c r="M39" s="110" t="s">
        <v>140</v>
      </c>
      <c r="N39" s="110"/>
    </row>
    <row r="40" spans="1:14" ht="15" x14ac:dyDescent="0.2">
      <c r="A40" s="110">
        <v>39</v>
      </c>
      <c r="B40" s="110" t="s">
        <v>108</v>
      </c>
      <c r="C40" s="110" t="s">
        <v>68</v>
      </c>
      <c r="D40" s="110" t="s">
        <v>141</v>
      </c>
      <c r="E40" s="110" t="s">
        <v>89</v>
      </c>
      <c r="F40" s="110">
        <v>3</v>
      </c>
      <c r="G40" s="111">
        <v>45944</v>
      </c>
      <c r="H40" s="111">
        <v>45946</v>
      </c>
      <c r="I40" s="110">
        <v>38</v>
      </c>
      <c r="J40" s="110"/>
      <c r="K40" s="110" t="s">
        <v>90</v>
      </c>
      <c r="L40" s="112">
        <v>0</v>
      </c>
      <c r="M40" s="110" t="s">
        <v>91</v>
      </c>
      <c r="N40" s="110"/>
    </row>
    <row r="41" spans="1:14" ht="15" x14ac:dyDescent="0.2">
      <c r="A41" s="110">
        <v>40</v>
      </c>
      <c r="B41" s="110" t="s">
        <v>108</v>
      </c>
      <c r="C41" s="110" t="s">
        <v>142</v>
      </c>
      <c r="D41" s="110" t="s">
        <v>143</v>
      </c>
      <c r="E41" s="110" t="s">
        <v>89</v>
      </c>
      <c r="F41" s="110">
        <v>10</v>
      </c>
      <c r="G41" s="111">
        <v>45947</v>
      </c>
      <c r="H41" s="111">
        <v>45960</v>
      </c>
      <c r="I41" s="110">
        <v>39</v>
      </c>
      <c r="J41" s="110"/>
      <c r="K41" s="110" t="s">
        <v>90</v>
      </c>
      <c r="L41" s="112">
        <v>0</v>
      </c>
      <c r="M41" s="110" t="s">
        <v>91</v>
      </c>
      <c r="N41" s="1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Project Plan</vt:lpstr>
      <vt:lpstr>Display_Week</vt:lpstr>
      <vt:lpstr>'Project schedule'!Print_Titles</vt:lpstr>
      <vt:lpstr>Project_Start</vt:lpstr>
      <vt:lpstr>'Project schedule'!task_end</vt:lpstr>
      <vt:lpstr>'Project schedule'!task_progress</vt:lpstr>
      <vt:lpstr>'Project schedule'!task_start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 Du</cp:lastModifiedBy>
  <dcterms:created xsi:type="dcterms:W3CDTF">2025-08-25T18:36:00Z</dcterms:created>
  <dcterms:modified xsi:type="dcterms:W3CDTF">2025-08-25T20:03:48Z</dcterms:modified>
</cp:coreProperties>
</file>